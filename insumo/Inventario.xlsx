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ratorio CIE 1\Documents\"/>
    </mc:Choice>
  </mc:AlternateContent>
  <xr:revisionPtr revIDLastSave="0" documentId="13_ncr:1_{059792AE-9C19-4557-B4E6-88FE3092C521}" xr6:coauthVersionLast="47" xr6:coauthVersionMax="47" xr10:uidLastSave="{00000000-0000-0000-0000-000000000000}"/>
  <bookViews>
    <workbookView xWindow="-108" yWindow="-108" windowWidth="23256" windowHeight="13896" activeTab="3" xr2:uid="{60D49046-8A1F-4758-8662-A0CE4CCB0E78}"/>
  </bookViews>
  <sheets>
    <sheet name="Equipos" sheetId="1" r:id="rId1"/>
    <sheet name="Materiales" sheetId="2" r:id="rId2"/>
    <sheet name="Electronica" sheetId="3" r:id="rId3"/>
    <sheet name="Robo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4" l="1"/>
  <c r="G10" i="4"/>
  <c r="G7" i="4"/>
  <c r="G8" i="4"/>
  <c r="G6" i="4"/>
  <c r="G5" i="4"/>
  <c r="G4" i="4"/>
  <c r="G3" i="4"/>
  <c r="G157" i="3"/>
  <c r="G158" i="3"/>
  <c r="G159" i="3"/>
  <c r="G160" i="3"/>
  <c r="G161" i="3"/>
  <c r="G162" i="3"/>
  <c r="G163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38" i="3"/>
  <c r="G136" i="3"/>
  <c r="G137" i="3"/>
  <c r="G129" i="3"/>
  <c r="G130" i="3"/>
  <c r="G131" i="3"/>
  <c r="G132" i="3"/>
  <c r="G133" i="3"/>
  <c r="G134" i="3"/>
  <c r="G135" i="3"/>
  <c r="G119" i="3"/>
  <c r="G120" i="3"/>
  <c r="G121" i="3"/>
  <c r="G122" i="3"/>
  <c r="G123" i="3"/>
  <c r="G124" i="3"/>
  <c r="G125" i="3"/>
  <c r="G126" i="3"/>
  <c r="G127" i="3"/>
  <c r="G128" i="3"/>
  <c r="G108" i="3"/>
  <c r="G109" i="3"/>
  <c r="G110" i="3"/>
  <c r="G111" i="3"/>
  <c r="G112" i="3"/>
  <c r="G113" i="3"/>
  <c r="G114" i="3"/>
  <c r="G115" i="3"/>
  <c r="G116" i="3"/>
  <c r="G117" i="3"/>
  <c r="G118" i="3"/>
  <c r="G33" i="3"/>
  <c r="G32" i="3"/>
  <c r="G51" i="3"/>
  <c r="G54" i="3"/>
  <c r="G44" i="3"/>
  <c r="G43" i="3"/>
  <c r="G100" i="3"/>
  <c r="G91" i="3"/>
  <c r="G101" i="3"/>
  <c r="G102" i="3"/>
  <c r="G103" i="3"/>
  <c r="G104" i="3"/>
  <c r="G105" i="3"/>
  <c r="G106" i="3"/>
  <c r="G107" i="3"/>
  <c r="G90" i="3"/>
  <c r="G92" i="3"/>
  <c r="G93" i="3"/>
  <c r="G94" i="3"/>
  <c r="G95" i="3"/>
  <c r="G96" i="3"/>
  <c r="G97" i="3"/>
  <c r="G98" i="3"/>
  <c r="G99" i="3"/>
  <c r="G89" i="3"/>
  <c r="G88" i="3"/>
  <c r="G80" i="3"/>
  <c r="G75" i="3"/>
  <c r="G76" i="3"/>
  <c r="G77" i="3"/>
  <c r="G79" i="3"/>
  <c r="G81" i="3"/>
  <c r="G82" i="3"/>
  <c r="G83" i="3"/>
  <c r="G84" i="3"/>
  <c r="G85" i="3"/>
  <c r="G86" i="3"/>
  <c r="G87" i="3"/>
  <c r="G49" i="3"/>
  <c r="G50" i="3"/>
  <c r="G52" i="3"/>
  <c r="G53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48" i="3"/>
  <c r="G31" i="3"/>
  <c r="G34" i="3"/>
  <c r="G35" i="3"/>
  <c r="G36" i="3"/>
  <c r="G37" i="3"/>
  <c r="G38" i="3"/>
  <c r="G39" i="3"/>
  <c r="G40" i="3"/>
  <c r="G41" i="3"/>
  <c r="G42" i="3"/>
  <c r="G45" i="3"/>
  <c r="G46" i="3"/>
  <c r="G47" i="3"/>
  <c r="G30" i="3"/>
  <c r="G24" i="3"/>
  <c r="G25" i="3"/>
  <c r="G26" i="3"/>
  <c r="G27" i="3"/>
  <c r="G28" i="3"/>
  <c r="G29" i="3"/>
  <c r="G18" i="3"/>
  <c r="G19" i="3"/>
  <c r="G20" i="3"/>
  <c r="G21" i="3"/>
  <c r="G22" i="3"/>
  <c r="G23" i="3"/>
  <c r="G1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H22" i="2"/>
  <c r="H21" i="2"/>
  <c r="H23" i="2"/>
  <c r="H24" i="2"/>
  <c r="H25" i="2"/>
  <c r="H26" i="2"/>
  <c r="H27" i="2"/>
  <c r="H28" i="2"/>
  <c r="H20" i="2"/>
  <c r="H17" i="2"/>
  <c r="H18" i="2"/>
  <c r="H19" i="2"/>
  <c r="H11" i="2"/>
  <c r="H8" i="2"/>
  <c r="H3" i="2"/>
  <c r="H15" i="2"/>
  <c r="H4" i="2"/>
  <c r="H6" i="2"/>
  <c r="H7" i="2"/>
  <c r="H9" i="2"/>
  <c r="H10" i="2"/>
  <c r="H12" i="2"/>
  <c r="H13" i="2"/>
  <c r="H14" i="2"/>
  <c r="H16" i="2"/>
</calcChain>
</file>

<file path=xl/sharedStrings.xml><?xml version="1.0" encoding="utf-8"?>
<sst xmlns="http://schemas.openxmlformats.org/spreadsheetml/2006/main" count="386" uniqueCount="281">
  <si>
    <t>Portatil</t>
  </si>
  <si>
    <t>Lenovo Tinbook 16 G6 IRL</t>
  </si>
  <si>
    <t>PC-04</t>
  </si>
  <si>
    <t>Cargador</t>
  </si>
  <si>
    <t>PW0CC8Y4</t>
  </si>
  <si>
    <t>PW0CC8YD</t>
  </si>
  <si>
    <t>PW0CC8X6</t>
  </si>
  <si>
    <t>PW0CC8X4</t>
  </si>
  <si>
    <t>Asus TUF Gaming A16</t>
  </si>
  <si>
    <t>Y6NRCX02W528247</t>
  </si>
  <si>
    <t>EQUIPO</t>
  </si>
  <si>
    <t>MARCA</t>
  </si>
  <si>
    <t>CONTIENE</t>
  </si>
  <si>
    <t>S/N</t>
  </si>
  <si>
    <t>T6NRCX02W60024H</t>
  </si>
  <si>
    <t>T6NRCX02W45124G</t>
  </si>
  <si>
    <t>T6NRCX02W438244</t>
  </si>
  <si>
    <t>T6NRCX02W46324C</t>
  </si>
  <si>
    <t>Meta Quest 3S</t>
  </si>
  <si>
    <t>Cargador  Controles X2</t>
  </si>
  <si>
    <t>Gafas VR</t>
  </si>
  <si>
    <t>340YC20G78093L</t>
  </si>
  <si>
    <t>340YCB07G8409N2</t>
  </si>
  <si>
    <t>340YB07G8S05R2</t>
  </si>
  <si>
    <t>340YB07G8S0B78</t>
  </si>
  <si>
    <t>ESTADO</t>
  </si>
  <si>
    <t>UNI-T Osciloscopio</t>
  </si>
  <si>
    <t>Celular</t>
  </si>
  <si>
    <t>Samsung Galaxi A15</t>
  </si>
  <si>
    <t>R58X60D95VL</t>
  </si>
  <si>
    <t>R58X708B67J</t>
  </si>
  <si>
    <t>Bambu Lab P1S</t>
  </si>
  <si>
    <t>Bambu Lab A1</t>
  </si>
  <si>
    <t>Creality Ender 5 PLUS</t>
  </si>
  <si>
    <t>Creality K2 PLUS</t>
  </si>
  <si>
    <t>Creality K1C</t>
  </si>
  <si>
    <t>Creality Halot Mage S + Curadora</t>
  </si>
  <si>
    <t>Creality Falcon 2 PRO</t>
  </si>
  <si>
    <t>#</t>
  </si>
  <si>
    <t>UNI-T Osciloscopio Digital</t>
  </si>
  <si>
    <t>PC-01</t>
  </si>
  <si>
    <t>PC-02</t>
  </si>
  <si>
    <t>PC-03</t>
  </si>
  <si>
    <t>Lab 1</t>
  </si>
  <si>
    <t>Lab 2</t>
  </si>
  <si>
    <t>Lab 3</t>
  </si>
  <si>
    <t>Lab 4</t>
  </si>
  <si>
    <t>Lab 5</t>
  </si>
  <si>
    <t xml:space="preserve">Color </t>
  </si>
  <si>
    <t>Tipo</t>
  </si>
  <si>
    <t>Cantidad</t>
  </si>
  <si>
    <t>Natural</t>
  </si>
  <si>
    <t>En uso</t>
  </si>
  <si>
    <t>En stock</t>
  </si>
  <si>
    <t>Total</t>
  </si>
  <si>
    <t>PLA</t>
  </si>
  <si>
    <t>1KG</t>
  </si>
  <si>
    <t>Usado</t>
  </si>
  <si>
    <t>Amarillo</t>
  </si>
  <si>
    <t>Gris</t>
  </si>
  <si>
    <t>Rojo</t>
  </si>
  <si>
    <t>Azul</t>
  </si>
  <si>
    <t>Verde menta</t>
  </si>
  <si>
    <t>Morado</t>
  </si>
  <si>
    <t>Naranja</t>
  </si>
  <si>
    <t>Verde oscuro</t>
  </si>
  <si>
    <t>Blanco</t>
  </si>
  <si>
    <t>PLA+</t>
  </si>
  <si>
    <t>PETG</t>
  </si>
  <si>
    <t>Verde transparente</t>
  </si>
  <si>
    <t>ABS</t>
  </si>
  <si>
    <t>TPU</t>
  </si>
  <si>
    <t>0,8KG</t>
  </si>
  <si>
    <t xml:space="preserve">Rojo </t>
  </si>
  <si>
    <t>Verde manzana</t>
  </si>
  <si>
    <t>Hyper PLA</t>
  </si>
  <si>
    <t>Negro</t>
  </si>
  <si>
    <t>500G</t>
  </si>
  <si>
    <t>Standar Plus</t>
  </si>
  <si>
    <t>Prestado a Sara Maury Mena por el vicerrector</t>
  </si>
  <si>
    <t>CIE-1</t>
  </si>
  <si>
    <t>CIE-2</t>
  </si>
  <si>
    <t>Quest 1</t>
  </si>
  <si>
    <t>Quest 2</t>
  </si>
  <si>
    <t>Quest 3</t>
  </si>
  <si>
    <t>Quest 4</t>
  </si>
  <si>
    <t>Camara</t>
  </si>
  <si>
    <t>Super 3D PEN</t>
  </si>
  <si>
    <t>Intel Depth Camera</t>
  </si>
  <si>
    <t>Lapiz 3D</t>
  </si>
  <si>
    <t>TIPO</t>
  </si>
  <si>
    <t>NOMBRE</t>
  </si>
  <si>
    <t xml:space="preserve">DESCRIPCION </t>
  </si>
  <si>
    <t>EN USO</t>
  </si>
  <si>
    <t>EN STOCK</t>
  </si>
  <si>
    <t>TOTAL</t>
  </si>
  <si>
    <t>Baterias Energizer AA</t>
  </si>
  <si>
    <t>Cargador Steren AA y AAA</t>
  </si>
  <si>
    <t>Baterias Steren AA</t>
  </si>
  <si>
    <t>Cargador Baterias Li-ion</t>
  </si>
  <si>
    <t>Baterias Li-ion 3.7V</t>
  </si>
  <si>
    <t>Manillas antiestaticas</t>
  </si>
  <si>
    <t>Protoboards 800pts</t>
  </si>
  <si>
    <t>Bateria Beston 9V</t>
  </si>
  <si>
    <t>Cable USB Arduino</t>
  </si>
  <si>
    <t>Modulos de relés 5V/12V X8</t>
  </si>
  <si>
    <t>Servomotores MG996R</t>
  </si>
  <si>
    <t>Rollo de estaño 1/4 de LB</t>
  </si>
  <si>
    <t>Muelles o resortes</t>
  </si>
  <si>
    <t>Protoboards 170pts</t>
  </si>
  <si>
    <t>Pomada para estaño</t>
  </si>
  <si>
    <t>Conectores Molex 2 pines</t>
  </si>
  <si>
    <t>Motor DC mediano 9/12V</t>
  </si>
  <si>
    <t>Motores paso a paso</t>
  </si>
  <si>
    <t>Conectores molex de seis pines</t>
  </si>
  <si>
    <t>Conectores molex de ocho pines</t>
  </si>
  <si>
    <t>Driver motor Paso a Paso</t>
  </si>
  <si>
    <t>Conectores molex de 3 pines</t>
  </si>
  <si>
    <t>Jumpers macho macho pequeños</t>
  </si>
  <si>
    <t>Jumpers macho hembra pequeños</t>
  </si>
  <si>
    <t>Jumpers macho macho grandes</t>
  </si>
  <si>
    <t>Arduino uno R3</t>
  </si>
  <si>
    <t>Resistencia de 1k</t>
  </si>
  <si>
    <t>Resistencia de 2k</t>
  </si>
  <si>
    <t>Resistencia de 6,8k</t>
  </si>
  <si>
    <t>Resistencia de 10k</t>
  </si>
  <si>
    <t>Resistencia de 21k</t>
  </si>
  <si>
    <t>Resistencia de 20k</t>
  </si>
  <si>
    <t>Resistencia de 51k</t>
  </si>
  <si>
    <t>Resistencia de 2,2k</t>
  </si>
  <si>
    <t>Resistencia de 3,3k</t>
  </si>
  <si>
    <t>Resistencia de 4,7k</t>
  </si>
  <si>
    <t>Resistencia de 5,1k</t>
  </si>
  <si>
    <t>Resistencia de 68k</t>
  </si>
  <si>
    <t>Resistencia de 100k</t>
  </si>
  <si>
    <t>Resistencia de 220k</t>
  </si>
  <si>
    <t>Resistencia de 300k</t>
  </si>
  <si>
    <t>Resistencia de 470k</t>
  </si>
  <si>
    <t>Resistencia de 6,7R</t>
  </si>
  <si>
    <t>Resistencia de 10R</t>
  </si>
  <si>
    <t>Resistencia de 47R</t>
  </si>
  <si>
    <t>Resistencia de 100R</t>
  </si>
  <si>
    <t>Resistencia de 470R</t>
  </si>
  <si>
    <t>Resistencia de 510R</t>
  </si>
  <si>
    <t>Resistencia de 150R</t>
  </si>
  <si>
    <t>Resistencia de 270R</t>
  </si>
  <si>
    <t>Resistencia de 330R</t>
  </si>
  <si>
    <t>Resistencia de 680R</t>
  </si>
  <si>
    <t>Resistencia de 220R</t>
  </si>
  <si>
    <t>Resistencia de 22k</t>
  </si>
  <si>
    <t>Resistencia de 22R</t>
  </si>
  <si>
    <t>Servo SG90</t>
  </si>
  <si>
    <t>Auduino nano V3.0</t>
  </si>
  <si>
    <t>Kit de herramientas</t>
  </si>
  <si>
    <t>Servo SG90s</t>
  </si>
  <si>
    <t>Protoboards 400pts</t>
  </si>
  <si>
    <t>Mosfet IRF540N</t>
  </si>
  <si>
    <t>Mosfet IRF544N</t>
  </si>
  <si>
    <t>Regulador de voltaje LM7805</t>
  </si>
  <si>
    <t>Regulador de voltaje LM3171</t>
  </si>
  <si>
    <t>Modulo de rele de 1 solo modulo 12V</t>
  </si>
  <si>
    <t>Modulo de rele de 1 solo modulo 5V</t>
  </si>
  <si>
    <t>Microregulador de voltaje AMS1117 de 5V</t>
  </si>
  <si>
    <t xml:space="preserve">Auduino mega </t>
  </si>
  <si>
    <t>Sensor de linea QTR-8RC</t>
  </si>
  <si>
    <t>Seguidor de linea TCTR5000</t>
  </si>
  <si>
    <t>Modulo de reles de 2 modulos 5V</t>
  </si>
  <si>
    <t>Modulo de reles de 2 modulos 12V</t>
  </si>
  <si>
    <t>Modulo de reles de 4 modulos 12V</t>
  </si>
  <si>
    <t>Modulo ESP32</t>
  </si>
  <si>
    <t>Cinta aislante de colores</t>
  </si>
  <si>
    <t>Modulo ESP8266</t>
  </si>
  <si>
    <t>Controlador de motor A4988</t>
  </si>
  <si>
    <t>Cutin Plastico 120V</t>
  </si>
  <si>
    <t xml:space="preserve">Bomba para fuente y acuario </t>
  </si>
  <si>
    <t>Paño de microfibra</t>
  </si>
  <si>
    <t>Lijas Aw-T1000</t>
  </si>
  <si>
    <t>Tercera mano</t>
  </si>
  <si>
    <t>Multimetro digital UNIT UT39C+</t>
  </si>
  <si>
    <t>Medidor LCR UNIT UT603</t>
  </si>
  <si>
    <t>Raspberry Pi 5 128GB 8GB RAM</t>
  </si>
  <si>
    <t>Cable UTP por mts</t>
  </si>
  <si>
    <t>Porta bateria de 9V</t>
  </si>
  <si>
    <t>Bateria de litio 3.7 V</t>
  </si>
  <si>
    <t>Jumpers macho hembra grande</t>
  </si>
  <si>
    <t>Leds rojos</t>
  </si>
  <si>
    <t>Sensor ultrasonico HC-SR04</t>
  </si>
  <si>
    <t>Driver TPA3118</t>
  </si>
  <si>
    <t>Controlador led esferico</t>
  </si>
  <si>
    <t>Interruptor de board</t>
  </si>
  <si>
    <t>Sensor ultrasonico HC-SR05</t>
  </si>
  <si>
    <t>Resistencia de 47k</t>
  </si>
  <si>
    <t>Resistencia de 21R</t>
  </si>
  <si>
    <t>Resistencia de 680k</t>
  </si>
  <si>
    <t>Resistencia de 1,5k</t>
  </si>
  <si>
    <t>Resistencia de 1,8k</t>
  </si>
  <si>
    <t>Arduino mega</t>
  </si>
  <si>
    <t>Rueda loca mediana</t>
  </si>
  <si>
    <t>capacitores 0,11uf</t>
  </si>
  <si>
    <t>capacitores 0,1uf</t>
  </si>
  <si>
    <t>capacitores 2,2pf</t>
  </si>
  <si>
    <t>capacitores 15pf</t>
  </si>
  <si>
    <t>capacitores 18pf</t>
  </si>
  <si>
    <t>capacitores 22pf</t>
  </si>
  <si>
    <t>capacitores 27pf</t>
  </si>
  <si>
    <t>capacitores 30pf</t>
  </si>
  <si>
    <t>capacitores 56pf</t>
  </si>
  <si>
    <t>capacitores 100pf</t>
  </si>
  <si>
    <t>capacitores 130pf</t>
  </si>
  <si>
    <t>capacitores 220pf</t>
  </si>
  <si>
    <t>capacitores 270pf</t>
  </si>
  <si>
    <t>capacitores 561pf</t>
  </si>
  <si>
    <t>capacitores 1000pf</t>
  </si>
  <si>
    <t>capacitores 6800pf</t>
  </si>
  <si>
    <t>capacitores 8200pf</t>
  </si>
  <si>
    <t>Sensor de linea</t>
  </si>
  <si>
    <t>Diodo 1N4007</t>
  </si>
  <si>
    <t>Diodo 1N4148</t>
  </si>
  <si>
    <t>Sensor de humedad</t>
  </si>
  <si>
    <t>Giroscopio</t>
  </si>
  <si>
    <t>Buzzer</t>
  </si>
  <si>
    <t>Transistor BC547</t>
  </si>
  <si>
    <t>Transistor 2N3904</t>
  </si>
  <si>
    <t>Transistor 2N3906</t>
  </si>
  <si>
    <t>Resistencia de 1M</t>
  </si>
  <si>
    <t>capacitores 0,3UFX 16V</t>
  </si>
  <si>
    <t>capacitores 10UFX 16V</t>
  </si>
  <si>
    <t>capacitores 100UFX 16V</t>
  </si>
  <si>
    <t>capacitores 200UFX 16V</t>
  </si>
  <si>
    <t>capacitores 470UFX 16V</t>
  </si>
  <si>
    <t>capacitores 1000UFX 16V</t>
  </si>
  <si>
    <t>capacitores 10UFX 25V</t>
  </si>
  <si>
    <t>capacitores 33UFX 25V</t>
  </si>
  <si>
    <t>capacitores 220UFX 25V</t>
  </si>
  <si>
    <t>capacitores 330UFX 25V</t>
  </si>
  <si>
    <t>capacitores 470UFX 25V</t>
  </si>
  <si>
    <t>capacitores 3000UFX 25V</t>
  </si>
  <si>
    <t>capacitores 1000UFX 25V</t>
  </si>
  <si>
    <t>capacitores 0,1UFX 35V</t>
  </si>
  <si>
    <t>capacitores 10UFX 35V</t>
  </si>
  <si>
    <t>capacitores 22UFX 35V</t>
  </si>
  <si>
    <t>capacitores 47UFX 35V</t>
  </si>
  <si>
    <t>capacitores 0,47UFX 63V</t>
  </si>
  <si>
    <t>capacitores 330UFX 50V</t>
  </si>
  <si>
    <t>capacitores 47UFX 50V</t>
  </si>
  <si>
    <t>capacitores 22UFX 50V</t>
  </si>
  <si>
    <t>capacitores 10UFX 50V</t>
  </si>
  <si>
    <t>capacitores 1UFX 50V</t>
  </si>
  <si>
    <t>capacitores 0,22UFX 50V</t>
  </si>
  <si>
    <t>capacitores 470UFX 35V</t>
  </si>
  <si>
    <t>capacitores 330UFX 35V</t>
  </si>
  <si>
    <t>capacitores 100UFX 35V</t>
  </si>
  <si>
    <t>capacitores 220UFX 35V</t>
  </si>
  <si>
    <t>Araña Robotica Acebott</t>
  </si>
  <si>
    <t>Carro Acebott</t>
  </si>
  <si>
    <t>camara</t>
  </si>
  <si>
    <t>pistola</t>
  </si>
  <si>
    <t>Nombre</t>
  </si>
  <si>
    <t>Osciloscopio</t>
  </si>
  <si>
    <t>Impresora (SLA/LCD)</t>
  </si>
  <si>
    <t>Impresora (FMD)</t>
  </si>
  <si>
    <t>DISPONIBLE</t>
  </si>
  <si>
    <t>FUERA DE SERVICIO</t>
  </si>
  <si>
    <t>Kit brazo largo</t>
  </si>
  <si>
    <t>Kit brazo mediano</t>
  </si>
  <si>
    <t>Kit brazo pequeño</t>
  </si>
  <si>
    <t>Eilik</t>
  </si>
  <si>
    <t>P1S</t>
  </si>
  <si>
    <t>A1</t>
  </si>
  <si>
    <t>K1C</t>
  </si>
  <si>
    <t>Ender 5 - 1</t>
  </si>
  <si>
    <t>Ender 5 - 2</t>
  </si>
  <si>
    <t>K2 PLUS</t>
  </si>
  <si>
    <t>Falcon 2 PRO</t>
  </si>
  <si>
    <t>Halot Mage S</t>
  </si>
  <si>
    <t>Osc - 1</t>
  </si>
  <si>
    <t xml:space="preserve"> Osc - 2</t>
  </si>
  <si>
    <t>Pen - 1</t>
  </si>
  <si>
    <t>Cam - 1</t>
  </si>
  <si>
    <t>Pen - 2</t>
  </si>
  <si>
    <t>Cam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</si>
</sst>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13B7-F10D-42E6-AEDB-9F23A7E1C65A}">
  <dimension ref="B1:G33"/>
  <sheetViews>
    <sheetView topLeftCell="A13" workbookViewId="0">
      <selection activeCell="I31" sqref="I31"/>
    </sheetView>
  </sheetViews>
  <sheetFormatPr baseColWidth="10" defaultRowHeight="15.6" x14ac:dyDescent="0.3"/>
  <cols>
    <col min="1" max="1" width="17.5546875" style="1" customWidth="1"/>
    <col min="2" max="2" width="23" style="1" customWidth="1"/>
    <col min="3" max="3" width="25.6640625" style="1" customWidth="1"/>
    <col min="4" max="4" width="17.33203125" style="1" customWidth="1"/>
    <col min="5" max="5" width="23.44140625" style="1" customWidth="1"/>
    <col min="6" max="6" width="21.5546875" style="1" customWidth="1"/>
    <col min="7" max="16384" width="11.5546875" style="1"/>
  </cols>
  <sheetData>
    <row r="1" spans="2:7" ht="16.2" thickBot="1" x14ac:dyDescent="0.35"/>
    <row r="2" spans="2:7" ht="16.2" thickBot="1" x14ac:dyDescent="0.35">
      <c r="B2" s="4" t="s">
        <v>10</v>
      </c>
      <c r="C2" s="5" t="s">
        <v>11</v>
      </c>
      <c r="D2" s="5" t="s">
        <v>38</v>
      </c>
      <c r="E2" s="5" t="s">
        <v>12</v>
      </c>
      <c r="F2" s="5" t="s">
        <v>13</v>
      </c>
      <c r="G2" s="6" t="s">
        <v>25</v>
      </c>
    </row>
    <row r="3" spans="2:7" ht="31.2" x14ac:dyDescent="0.3">
      <c r="B3" s="3" t="s">
        <v>0</v>
      </c>
      <c r="C3" s="3" t="s">
        <v>1</v>
      </c>
      <c r="D3" s="3" t="s">
        <v>40</v>
      </c>
      <c r="E3" s="3" t="s">
        <v>3</v>
      </c>
      <c r="F3" s="3" t="s">
        <v>7</v>
      </c>
      <c r="G3" s="3"/>
    </row>
    <row r="4" spans="2:7" ht="31.2" x14ac:dyDescent="0.3">
      <c r="B4" s="2" t="s">
        <v>0</v>
      </c>
      <c r="C4" s="2" t="s">
        <v>1</v>
      </c>
      <c r="D4" s="2" t="s">
        <v>41</v>
      </c>
      <c r="E4" s="2" t="s">
        <v>3</v>
      </c>
      <c r="F4" s="2" t="s">
        <v>5</v>
      </c>
      <c r="G4" s="2"/>
    </row>
    <row r="5" spans="2:7" ht="31.2" x14ac:dyDescent="0.3">
      <c r="B5" s="2" t="s">
        <v>0</v>
      </c>
      <c r="C5" s="2" t="s">
        <v>1</v>
      </c>
      <c r="D5" s="2" t="s">
        <v>42</v>
      </c>
      <c r="E5" s="2" t="s">
        <v>3</v>
      </c>
      <c r="F5" s="2" t="s">
        <v>6</v>
      </c>
      <c r="G5" s="2"/>
    </row>
    <row r="6" spans="2:7" ht="25.2" customHeight="1" x14ac:dyDescent="0.3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79</v>
      </c>
    </row>
    <row r="7" spans="2:7" ht="25.2" customHeight="1" x14ac:dyDescent="0.3">
      <c r="B7" s="2" t="s">
        <v>0</v>
      </c>
      <c r="C7" s="2" t="s">
        <v>8</v>
      </c>
      <c r="D7" s="2" t="s">
        <v>43</v>
      </c>
      <c r="E7" s="2" t="s">
        <v>3</v>
      </c>
      <c r="F7" s="2" t="s">
        <v>9</v>
      </c>
      <c r="G7" s="2"/>
    </row>
    <row r="8" spans="2:7" ht="25.2" customHeight="1" x14ac:dyDescent="0.3">
      <c r="B8" s="2" t="s">
        <v>0</v>
      </c>
      <c r="C8" s="2" t="s">
        <v>8</v>
      </c>
      <c r="D8" s="2" t="s">
        <v>44</v>
      </c>
      <c r="E8" s="2" t="s">
        <v>3</v>
      </c>
      <c r="F8" s="2" t="s">
        <v>17</v>
      </c>
      <c r="G8" s="2"/>
    </row>
    <row r="9" spans="2:7" ht="25.2" customHeight="1" x14ac:dyDescent="0.3">
      <c r="B9" s="2" t="s">
        <v>0</v>
      </c>
      <c r="C9" s="2" t="s">
        <v>8</v>
      </c>
      <c r="D9" s="2" t="s">
        <v>45</v>
      </c>
      <c r="E9" s="2" t="s">
        <v>3</v>
      </c>
      <c r="F9" s="2" t="s">
        <v>16</v>
      </c>
      <c r="G9" s="2"/>
    </row>
    <row r="10" spans="2:7" ht="25.2" customHeight="1" x14ac:dyDescent="0.3">
      <c r="B10" s="2" t="s">
        <v>0</v>
      </c>
      <c r="C10" s="2" t="s">
        <v>8</v>
      </c>
      <c r="D10" s="2" t="s">
        <v>46</v>
      </c>
      <c r="E10" s="2" t="s">
        <v>3</v>
      </c>
      <c r="F10" s="2" t="s">
        <v>14</v>
      </c>
      <c r="G10" s="2"/>
    </row>
    <row r="11" spans="2:7" ht="31.2" x14ac:dyDescent="0.3">
      <c r="B11" s="2" t="s">
        <v>0</v>
      </c>
      <c r="C11" s="2" t="s">
        <v>8</v>
      </c>
      <c r="D11" s="2" t="s">
        <v>47</v>
      </c>
      <c r="E11" s="2" t="s">
        <v>3</v>
      </c>
      <c r="F11" s="2" t="s">
        <v>15</v>
      </c>
      <c r="G11" s="2"/>
    </row>
    <row r="12" spans="2:7" x14ac:dyDescent="0.3">
      <c r="B12" s="2" t="s">
        <v>20</v>
      </c>
      <c r="C12" s="2" t="s">
        <v>18</v>
      </c>
      <c r="D12" s="2" t="s">
        <v>82</v>
      </c>
      <c r="E12" s="2" t="s">
        <v>19</v>
      </c>
      <c r="F12" s="2" t="s">
        <v>23</v>
      </c>
      <c r="G12" s="2"/>
    </row>
    <row r="13" spans="2:7" x14ac:dyDescent="0.3">
      <c r="B13" s="2" t="s">
        <v>20</v>
      </c>
      <c r="C13" s="2" t="s">
        <v>18</v>
      </c>
      <c r="D13" s="2" t="s">
        <v>83</v>
      </c>
      <c r="E13" s="2" t="s">
        <v>19</v>
      </c>
      <c r="F13" s="2" t="s">
        <v>22</v>
      </c>
      <c r="G13" s="2"/>
    </row>
    <row r="14" spans="2:7" x14ac:dyDescent="0.3">
      <c r="B14" s="2" t="s">
        <v>20</v>
      </c>
      <c r="C14" s="2" t="s">
        <v>18</v>
      </c>
      <c r="D14" s="2" t="s">
        <v>84</v>
      </c>
      <c r="E14" s="2" t="s">
        <v>19</v>
      </c>
      <c r="F14" s="2" t="s">
        <v>24</v>
      </c>
      <c r="G14" s="2"/>
    </row>
    <row r="15" spans="2:7" ht="21" customHeight="1" x14ac:dyDescent="0.3">
      <c r="B15" s="2" t="s">
        <v>20</v>
      </c>
      <c r="C15" s="2" t="s">
        <v>18</v>
      </c>
      <c r="D15" s="2" t="s">
        <v>85</v>
      </c>
      <c r="E15" s="2" t="s">
        <v>19</v>
      </c>
      <c r="F15" s="2" t="s">
        <v>21</v>
      </c>
      <c r="G15" s="2"/>
    </row>
    <row r="16" spans="2:7" ht="21" customHeight="1" x14ac:dyDescent="0.3">
      <c r="B16" s="2" t="s">
        <v>27</v>
      </c>
      <c r="C16" s="2" t="s">
        <v>28</v>
      </c>
      <c r="D16" s="2" t="s">
        <v>80</v>
      </c>
      <c r="E16" s="2"/>
      <c r="F16" s="2" t="s">
        <v>29</v>
      </c>
      <c r="G16" s="2"/>
    </row>
    <row r="17" spans="2:7" ht="23.4" customHeight="1" x14ac:dyDescent="0.3">
      <c r="B17" s="2" t="s">
        <v>27</v>
      </c>
      <c r="C17" s="2" t="s">
        <v>28</v>
      </c>
      <c r="D17" s="2" t="s">
        <v>81</v>
      </c>
      <c r="E17" s="2"/>
      <c r="F17" s="2" t="s">
        <v>30</v>
      </c>
      <c r="G17" s="2"/>
    </row>
    <row r="18" spans="2:7" ht="23.4" customHeight="1" x14ac:dyDescent="0.3">
      <c r="B18" s="3" t="s">
        <v>260</v>
      </c>
      <c r="C18" s="3" t="s">
        <v>31</v>
      </c>
      <c r="D18" s="2" t="s">
        <v>267</v>
      </c>
      <c r="E18" s="2"/>
      <c r="F18" s="2"/>
      <c r="G18" s="2"/>
    </row>
    <row r="19" spans="2:7" ht="23.4" customHeight="1" x14ac:dyDescent="0.3">
      <c r="B19" s="3" t="s">
        <v>260</v>
      </c>
      <c r="C19" s="2" t="s">
        <v>32</v>
      </c>
      <c r="D19" s="2" t="s">
        <v>268</v>
      </c>
      <c r="E19" s="2"/>
      <c r="F19" s="2"/>
      <c r="G19" s="2"/>
    </row>
    <row r="20" spans="2:7" ht="23.4" customHeight="1" x14ac:dyDescent="0.3">
      <c r="B20" s="3" t="s">
        <v>260</v>
      </c>
      <c r="C20" s="2" t="s">
        <v>33</v>
      </c>
      <c r="D20" s="2" t="s">
        <v>270</v>
      </c>
      <c r="E20" s="2"/>
      <c r="F20" s="2"/>
      <c r="G20" s="2"/>
    </row>
    <row r="21" spans="2:7" ht="23.4" customHeight="1" x14ac:dyDescent="0.3">
      <c r="B21" s="3" t="s">
        <v>260</v>
      </c>
      <c r="C21" s="2" t="s">
        <v>33</v>
      </c>
      <c r="D21" s="2" t="s">
        <v>271</v>
      </c>
      <c r="E21" s="2"/>
      <c r="F21" s="2"/>
      <c r="G21" s="2"/>
    </row>
    <row r="22" spans="2:7" ht="32.4" customHeight="1" x14ac:dyDescent="0.3">
      <c r="B22" s="3" t="s">
        <v>260</v>
      </c>
      <c r="C22" s="2" t="s">
        <v>34</v>
      </c>
      <c r="D22" s="2" t="s">
        <v>272</v>
      </c>
      <c r="E22" s="2"/>
      <c r="F22" s="2"/>
      <c r="G22" s="2"/>
    </row>
    <row r="23" spans="2:7" x14ac:dyDescent="0.3">
      <c r="B23" s="3" t="s">
        <v>260</v>
      </c>
      <c r="C23" s="2" t="s">
        <v>35</v>
      </c>
      <c r="D23" s="2" t="s">
        <v>269</v>
      </c>
      <c r="E23" s="2"/>
      <c r="F23" s="2"/>
      <c r="G23" s="2"/>
    </row>
    <row r="24" spans="2:7" ht="29.4" customHeight="1" x14ac:dyDescent="0.3">
      <c r="B24" s="2" t="s">
        <v>259</v>
      </c>
      <c r="C24" s="2" t="s">
        <v>36</v>
      </c>
      <c r="D24" s="2" t="s">
        <v>274</v>
      </c>
      <c r="E24" s="2"/>
      <c r="F24" s="2"/>
      <c r="G24" s="2"/>
    </row>
    <row r="25" spans="2:7" ht="30.6" customHeight="1" x14ac:dyDescent="0.3">
      <c r="B25" s="3" t="s">
        <v>260</v>
      </c>
      <c r="C25" s="2" t="s">
        <v>37</v>
      </c>
      <c r="D25" s="2" t="s">
        <v>273</v>
      </c>
      <c r="E25" s="2"/>
      <c r="F25" s="2"/>
      <c r="G25" s="2"/>
    </row>
    <row r="26" spans="2:7" x14ac:dyDescent="0.3">
      <c r="B26" s="2" t="s">
        <v>258</v>
      </c>
      <c r="C26" s="2" t="s">
        <v>26</v>
      </c>
      <c r="D26" s="2" t="s">
        <v>275</v>
      </c>
      <c r="E26" s="2"/>
      <c r="F26" s="2"/>
      <c r="G26" s="2"/>
    </row>
    <row r="27" spans="2:7" ht="31.2" x14ac:dyDescent="0.3">
      <c r="B27" s="2" t="s">
        <v>258</v>
      </c>
      <c r="C27" s="2" t="s">
        <v>39</v>
      </c>
      <c r="D27" s="2" t="s">
        <v>276</v>
      </c>
      <c r="E27" s="2"/>
      <c r="F27" s="2"/>
      <c r="G27" s="2"/>
    </row>
    <row r="28" spans="2:7" x14ac:dyDescent="0.3">
      <c r="B28" s="2" t="s">
        <v>86</v>
      </c>
      <c r="C28" s="2" t="s">
        <v>88</v>
      </c>
      <c r="D28" s="2" t="s">
        <v>278</v>
      </c>
      <c r="E28" s="2"/>
      <c r="F28" s="2"/>
      <c r="G28" s="2"/>
    </row>
    <row r="29" spans="2:7" x14ac:dyDescent="0.3">
      <c r="B29" s="2" t="s">
        <v>86</v>
      </c>
      <c r="C29" s="2" t="s">
        <v>88</v>
      </c>
      <c r="D29" s="2" t="s">
        <v>280</v>
      </c>
      <c r="E29" s="2"/>
      <c r="F29" s="2"/>
      <c r="G29" s="2"/>
    </row>
    <row r="30" spans="2:7" x14ac:dyDescent="0.3">
      <c r="B30" s="2" t="s">
        <v>89</v>
      </c>
      <c r="C30" s="2" t="s">
        <v>87</v>
      </c>
      <c r="D30" s="2" t="s">
        <v>277</v>
      </c>
      <c r="E30" s="2"/>
      <c r="F30" s="2"/>
      <c r="G30" s="2"/>
    </row>
    <row r="31" spans="2:7" x14ac:dyDescent="0.3">
      <c r="B31" s="2" t="s">
        <v>89</v>
      </c>
      <c r="C31" s="2" t="s">
        <v>87</v>
      </c>
      <c r="D31" s="2" t="s">
        <v>279</v>
      </c>
      <c r="E31" s="2"/>
      <c r="F31" s="2"/>
      <c r="G31" s="2"/>
    </row>
    <row r="33" spans="2:5" x14ac:dyDescent="0.3">
      <c r="B33" s="8"/>
      <c r="C33" s="8"/>
      <c r="E33" s="8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3106-5468-4AE3-8C6B-BC018668C8EF}">
  <dimension ref="B1:H28"/>
  <sheetViews>
    <sheetView workbookViewId="0">
      <selection activeCell="K14" sqref="K14"/>
    </sheetView>
  </sheetViews>
  <sheetFormatPr baseColWidth="10" defaultRowHeight="15.6" x14ac:dyDescent="0.3"/>
  <cols>
    <col min="1" max="1" width="7.6640625" style="1" customWidth="1"/>
    <col min="2" max="2" width="19.44140625" style="1" customWidth="1"/>
    <col min="3" max="3" width="20.33203125" style="1" customWidth="1"/>
    <col min="4" max="4" width="20.6640625" style="1" customWidth="1"/>
    <col min="5" max="5" width="14.44140625" style="1" customWidth="1"/>
    <col min="6" max="6" width="11.5546875" style="1"/>
    <col min="7" max="8" width="13.21875" style="1" bestFit="1" customWidth="1"/>
    <col min="9" max="9" width="11.5546875" style="1"/>
    <col min="10" max="10" width="13.21875" style="1" bestFit="1" customWidth="1"/>
    <col min="11" max="16384" width="11.5546875" style="1"/>
  </cols>
  <sheetData>
    <row r="1" spans="2:8" ht="16.2" thickBot="1" x14ac:dyDescent="0.35"/>
    <row r="2" spans="2:8" ht="16.2" thickBot="1" x14ac:dyDescent="0.35">
      <c r="B2" s="4" t="s">
        <v>48</v>
      </c>
      <c r="C2" s="5" t="s">
        <v>49</v>
      </c>
      <c r="D2" s="5" t="s">
        <v>50</v>
      </c>
      <c r="E2" s="5" t="s">
        <v>57</v>
      </c>
      <c r="F2" s="5" t="s">
        <v>52</v>
      </c>
      <c r="G2" s="5" t="s">
        <v>53</v>
      </c>
      <c r="H2" s="6" t="s">
        <v>54</v>
      </c>
    </row>
    <row r="3" spans="2:8" x14ac:dyDescent="0.3">
      <c r="B3" s="3" t="s">
        <v>51</v>
      </c>
      <c r="C3" s="3" t="s">
        <v>55</v>
      </c>
      <c r="D3" s="3" t="s">
        <v>56</v>
      </c>
      <c r="E3" s="3">
        <v>1</v>
      </c>
      <c r="F3" s="3"/>
      <c r="G3" s="3">
        <v>1</v>
      </c>
      <c r="H3" s="3">
        <f>SUM(E3:G3)</f>
        <v>2</v>
      </c>
    </row>
    <row r="4" spans="2:8" x14ac:dyDescent="0.3">
      <c r="B4" s="2" t="s">
        <v>74</v>
      </c>
      <c r="C4" s="2" t="s">
        <v>55</v>
      </c>
      <c r="D4" s="2" t="s">
        <v>56</v>
      </c>
      <c r="E4" s="2"/>
      <c r="F4" s="2">
        <v>2</v>
      </c>
      <c r="G4" s="2"/>
      <c r="H4" s="2">
        <f>SUM(E4:G4)</f>
        <v>2</v>
      </c>
    </row>
    <row r="5" spans="2:8" x14ac:dyDescent="0.3">
      <c r="B5" s="2" t="s">
        <v>65</v>
      </c>
      <c r="C5" s="2" t="s">
        <v>55</v>
      </c>
      <c r="D5" s="2" t="s">
        <v>56</v>
      </c>
      <c r="E5" s="2"/>
      <c r="F5" s="2">
        <v>1</v>
      </c>
      <c r="G5" s="2">
        <v>2</v>
      </c>
      <c r="H5" s="2"/>
    </row>
    <row r="6" spans="2:8" x14ac:dyDescent="0.3">
      <c r="B6" s="2" t="s">
        <v>58</v>
      </c>
      <c r="C6" s="2" t="s">
        <v>55</v>
      </c>
      <c r="D6" s="2" t="s">
        <v>56</v>
      </c>
      <c r="E6" s="2"/>
      <c r="F6" s="2">
        <v>1</v>
      </c>
      <c r="G6" s="2">
        <v>1</v>
      </c>
      <c r="H6" s="2">
        <f t="shared" ref="H6:H16" si="0">SUM(E6:G6)</f>
        <v>2</v>
      </c>
    </row>
    <row r="7" spans="2:8" x14ac:dyDescent="0.3">
      <c r="B7" s="2" t="s">
        <v>59</v>
      </c>
      <c r="C7" s="2" t="s">
        <v>55</v>
      </c>
      <c r="D7" s="2" t="s">
        <v>56</v>
      </c>
      <c r="E7" s="2"/>
      <c r="F7" s="2"/>
      <c r="G7" s="2">
        <v>2</v>
      </c>
      <c r="H7" s="2">
        <f t="shared" si="0"/>
        <v>2</v>
      </c>
    </row>
    <row r="8" spans="2:8" x14ac:dyDescent="0.3">
      <c r="B8" s="2" t="s">
        <v>60</v>
      </c>
      <c r="C8" s="2" t="s">
        <v>55</v>
      </c>
      <c r="D8" s="2" t="s">
        <v>56</v>
      </c>
      <c r="E8" s="2"/>
      <c r="F8" s="2">
        <v>2</v>
      </c>
      <c r="G8" s="2">
        <v>1</v>
      </c>
      <c r="H8" s="2">
        <f t="shared" si="0"/>
        <v>3</v>
      </c>
    </row>
    <row r="9" spans="2:8" x14ac:dyDescent="0.3">
      <c r="B9" s="2" t="s">
        <v>61</v>
      </c>
      <c r="C9" s="2" t="s">
        <v>55</v>
      </c>
      <c r="D9" s="2" t="s">
        <v>56</v>
      </c>
      <c r="E9" s="2"/>
      <c r="F9" s="2">
        <v>1</v>
      </c>
      <c r="G9" s="2"/>
      <c r="H9" s="2">
        <f t="shared" si="0"/>
        <v>1</v>
      </c>
    </row>
    <row r="10" spans="2:8" x14ac:dyDescent="0.3">
      <c r="B10" s="2" t="s">
        <v>62</v>
      </c>
      <c r="C10" s="2" t="s">
        <v>55</v>
      </c>
      <c r="D10" s="2" t="s">
        <v>56</v>
      </c>
      <c r="E10" s="2"/>
      <c r="F10" s="2">
        <v>1</v>
      </c>
      <c r="G10" s="2">
        <v>1</v>
      </c>
      <c r="H10" s="2">
        <f t="shared" si="0"/>
        <v>2</v>
      </c>
    </row>
    <row r="11" spans="2:8" x14ac:dyDescent="0.3">
      <c r="B11" s="2" t="s">
        <v>63</v>
      </c>
      <c r="C11" s="2" t="s">
        <v>55</v>
      </c>
      <c r="D11" s="2" t="s">
        <v>56</v>
      </c>
      <c r="E11" s="2"/>
      <c r="F11" s="2">
        <v>1</v>
      </c>
      <c r="G11" s="2">
        <v>1</v>
      </c>
      <c r="H11" s="2">
        <f t="shared" si="0"/>
        <v>2</v>
      </c>
    </row>
    <row r="12" spans="2:8" x14ac:dyDescent="0.3">
      <c r="B12" s="2" t="s">
        <v>64</v>
      </c>
      <c r="C12" s="2" t="s">
        <v>55</v>
      </c>
      <c r="D12" s="2" t="s">
        <v>56</v>
      </c>
      <c r="E12" s="2">
        <v>1</v>
      </c>
      <c r="F12" s="2"/>
      <c r="G12" s="2"/>
      <c r="H12" s="2">
        <f t="shared" si="0"/>
        <v>1</v>
      </c>
    </row>
    <row r="13" spans="2:8" x14ac:dyDescent="0.3">
      <c r="B13" s="2" t="s">
        <v>66</v>
      </c>
      <c r="C13" s="2" t="s">
        <v>55</v>
      </c>
      <c r="D13" s="2" t="s">
        <v>56</v>
      </c>
      <c r="E13" s="2"/>
      <c r="F13" s="2">
        <v>2</v>
      </c>
      <c r="G13" s="2"/>
      <c r="H13" s="2">
        <f t="shared" si="0"/>
        <v>2</v>
      </c>
    </row>
    <row r="14" spans="2:8" x14ac:dyDescent="0.3">
      <c r="B14" s="2" t="s">
        <v>66</v>
      </c>
      <c r="C14" s="2" t="s">
        <v>67</v>
      </c>
      <c r="D14" s="2" t="s">
        <v>56</v>
      </c>
      <c r="E14" s="2">
        <v>2</v>
      </c>
      <c r="F14" s="2"/>
      <c r="G14" s="2">
        <v>4</v>
      </c>
      <c r="H14" s="2">
        <f t="shared" si="0"/>
        <v>6</v>
      </c>
    </row>
    <row r="15" spans="2:8" x14ac:dyDescent="0.3">
      <c r="B15" s="2" t="s">
        <v>74</v>
      </c>
      <c r="C15" s="2" t="s">
        <v>67</v>
      </c>
      <c r="D15" s="2" t="s">
        <v>56</v>
      </c>
      <c r="E15" s="2">
        <v>1</v>
      </c>
      <c r="F15" s="2"/>
      <c r="G15" s="2">
        <v>1</v>
      </c>
      <c r="H15" s="2">
        <f t="shared" si="0"/>
        <v>2</v>
      </c>
    </row>
    <row r="16" spans="2:8" x14ac:dyDescent="0.3">
      <c r="B16" s="2" t="s">
        <v>61</v>
      </c>
      <c r="C16" s="2" t="s">
        <v>67</v>
      </c>
      <c r="D16" s="2" t="s">
        <v>56</v>
      </c>
      <c r="E16" s="2"/>
      <c r="F16" s="2"/>
      <c r="G16" s="2">
        <v>1</v>
      </c>
      <c r="H16" s="2">
        <f t="shared" si="0"/>
        <v>1</v>
      </c>
    </row>
    <row r="17" spans="2:8" x14ac:dyDescent="0.3">
      <c r="B17" s="2" t="s">
        <v>60</v>
      </c>
      <c r="C17" s="2" t="s">
        <v>67</v>
      </c>
      <c r="D17" s="2" t="s">
        <v>56</v>
      </c>
      <c r="E17" s="2"/>
      <c r="F17" s="2"/>
      <c r="G17" s="2">
        <v>1</v>
      </c>
      <c r="H17" s="2">
        <f t="shared" ref="H17:H19" si="1">SUM(E17:G17)</f>
        <v>1</v>
      </c>
    </row>
    <row r="18" spans="2:8" x14ac:dyDescent="0.3">
      <c r="B18" s="2" t="s">
        <v>58</v>
      </c>
      <c r="C18" s="2" t="s">
        <v>68</v>
      </c>
      <c r="D18" s="2" t="s">
        <v>56</v>
      </c>
      <c r="E18" s="2"/>
      <c r="F18" s="2"/>
      <c r="G18" s="2">
        <v>1</v>
      </c>
      <c r="H18" s="2">
        <f t="shared" si="1"/>
        <v>1</v>
      </c>
    </row>
    <row r="19" spans="2:8" x14ac:dyDescent="0.3">
      <c r="B19" s="2" t="s">
        <v>69</v>
      </c>
      <c r="C19" s="2" t="s">
        <v>68</v>
      </c>
      <c r="D19" s="2" t="s">
        <v>56</v>
      </c>
      <c r="E19" s="2"/>
      <c r="F19" s="2"/>
      <c r="G19" s="2">
        <v>1</v>
      </c>
      <c r="H19" s="2">
        <f t="shared" si="1"/>
        <v>1</v>
      </c>
    </row>
    <row r="20" spans="2:8" x14ac:dyDescent="0.3">
      <c r="B20" s="2" t="s">
        <v>63</v>
      </c>
      <c r="C20" s="2" t="s">
        <v>68</v>
      </c>
      <c r="D20" s="2" t="s">
        <v>56</v>
      </c>
      <c r="E20" s="2"/>
      <c r="F20" s="2"/>
      <c r="G20" s="2">
        <v>1</v>
      </c>
      <c r="H20" s="2">
        <f>SUM(E20:G20)</f>
        <v>1</v>
      </c>
    </row>
    <row r="21" spans="2:8" x14ac:dyDescent="0.3">
      <c r="B21" s="2" t="s">
        <v>66</v>
      </c>
      <c r="C21" s="2" t="s">
        <v>70</v>
      </c>
      <c r="D21" s="2" t="s">
        <v>56</v>
      </c>
      <c r="E21" s="2"/>
      <c r="F21" s="2"/>
      <c r="G21" s="2">
        <v>1</v>
      </c>
      <c r="H21" s="2">
        <f t="shared" ref="H21:H28" si="2">SUM(E21:G21)</f>
        <v>1</v>
      </c>
    </row>
    <row r="22" spans="2:8" x14ac:dyDescent="0.3">
      <c r="B22" s="2" t="s">
        <v>60</v>
      </c>
      <c r="C22" s="2" t="s">
        <v>70</v>
      </c>
      <c r="D22" s="2" t="s">
        <v>56</v>
      </c>
      <c r="E22" s="2"/>
      <c r="F22" s="2"/>
      <c r="G22" s="2">
        <v>1</v>
      </c>
      <c r="H22" s="2">
        <f t="shared" si="2"/>
        <v>1</v>
      </c>
    </row>
    <row r="23" spans="2:8" x14ac:dyDescent="0.3">
      <c r="B23" s="2" t="s">
        <v>73</v>
      </c>
      <c r="C23" s="2" t="s">
        <v>71</v>
      </c>
      <c r="D23" s="2" t="s">
        <v>72</v>
      </c>
      <c r="E23" s="2">
        <v>2</v>
      </c>
      <c r="F23" s="2"/>
      <c r="G23" s="2">
        <v>1</v>
      </c>
      <c r="H23" s="2">
        <f>SUM(E23:G23)</f>
        <v>3</v>
      </c>
    </row>
    <row r="24" spans="2:8" x14ac:dyDescent="0.3">
      <c r="B24" s="2" t="s">
        <v>60</v>
      </c>
      <c r="C24" s="2" t="s">
        <v>75</v>
      </c>
      <c r="D24" s="2" t="s">
        <v>56</v>
      </c>
      <c r="E24" s="2"/>
      <c r="F24" s="2"/>
      <c r="G24" s="2">
        <v>2</v>
      </c>
      <c r="H24" s="2">
        <f t="shared" si="2"/>
        <v>2</v>
      </c>
    </row>
    <row r="25" spans="2:8" x14ac:dyDescent="0.3">
      <c r="B25" s="2" t="s">
        <v>76</v>
      </c>
      <c r="C25" s="2" t="s">
        <v>75</v>
      </c>
      <c r="D25" s="2" t="s">
        <v>56</v>
      </c>
      <c r="E25" s="2"/>
      <c r="F25" s="2"/>
      <c r="G25" s="2">
        <v>1</v>
      </c>
      <c r="H25" s="2">
        <f t="shared" si="2"/>
        <v>1</v>
      </c>
    </row>
    <row r="26" spans="2:8" x14ac:dyDescent="0.3">
      <c r="B26" s="2" t="s">
        <v>66</v>
      </c>
      <c r="C26" s="2" t="s">
        <v>78</v>
      </c>
      <c r="D26" s="2" t="s">
        <v>77</v>
      </c>
      <c r="E26" s="2"/>
      <c r="F26" s="2"/>
      <c r="G26" s="2">
        <v>1</v>
      </c>
      <c r="H26" s="2">
        <f t="shared" si="2"/>
        <v>1</v>
      </c>
    </row>
    <row r="27" spans="2:8" x14ac:dyDescent="0.3">
      <c r="B27" s="2" t="s">
        <v>76</v>
      </c>
      <c r="C27" s="2" t="s">
        <v>78</v>
      </c>
      <c r="D27" s="2" t="s">
        <v>77</v>
      </c>
      <c r="E27" s="2"/>
      <c r="F27" s="2"/>
      <c r="G27" s="2">
        <v>1</v>
      </c>
      <c r="H27" s="2">
        <f t="shared" si="2"/>
        <v>1</v>
      </c>
    </row>
    <row r="28" spans="2:8" x14ac:dyDescent="0.3">
      <c r="B28" s="2" t="s">
        <v>59</v>
      </c>
      <c r="C28" s="2" t="s">
        <v>78</v>
      </c>
      <c r="D28" s="2" t="s">
        <v>77</v>
      </c>
      <c r="E28" s="2">
        <v>1</v>
      </c>
      <c r="F28" s="2"/>
      <c r="G28" s="2">
        <v>1</v>
      </c>
      <c r="H28" s="2">
        <f t="shared" si="2"/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DD53-E8A2-4FDB-91C0-02B9FDFFD047}">
  <dimension ref="B1:H167"/>
  <sheetViews>
    <sheetView workbookViewId="0">
      <selection activeCell="E5" sqref="E5"/>
    </sheetView>
  </sheetViews>
  <sheetFormatPr baseColWidth="10" defaultRowHeight="15.6" x14ac:dyDescent="0.3"/>
  <cols>
    <col min="1" max="1" width="7.5546875" style="1" customWidth="1"/>
    <col min="2" max="2" width="25.88671875" style="1" customWidth="1"/>
    <col min="3" max="3" width="19.77734375" style="1" customWidth="1"/>
    <col min="4" max="4" width="15" style="1" customWidth="1"/>
    <col min="5" max="5" width="15.33203125" style="1" customWidth="1"/>
    <col min="6" max="16384" width="11.5546875" style="1"/>
  </cols>
  <sheetData>
    <row r="1" spans="2:7" ht="16.2" thickBot="1" x14ac:dyDescent="0.35">
      <c r="E1" s="10"/>
    </row>
    <row r="2" spans="2:7" ht="16.2" thickBot="1" x14ac:dyDescent="0.35">
      <c r="B2" s="4" t="s">
        <v>91</v>
      </c>
      <c r="C2" s="5" t="s">
        <v>92</v>
      </c>
      <c r="D2" s="5" t="s">
        <v>90</v>
      </c>
      <c r="E2" s="9" t="s">
        <v>93</v>
      </c>
      <c r="F2" s="5" t="s">
        <v>94</v>
      </c>
      <c r="G2" s="6" t="s">
        <v>95</v>
      </c>
    </row>
    <row r="3" spans="2:7" ht="31.2" customHeight="1" x14ac:dyDescent="0.3">
      <c r="B3" s="3" t="s">
        <v>97</v>
      </c>
      <c r="C3" s="3"/>
      <c r="D3" s="3"/>
      <c r="E3" s="3"/>
      <c r="F3" s="3">
        <v>5</v>
      </c>
      <c r="G3" s="3">
        <f>SUM(E3:F3)</f>
        <v>5</v>
      </c>
    </row>
    <row r="4" spans="2:7" x14ac:dyDescent="0.3">
      <c r="B4" s="2" t="s">
        <v>96</v>
      </c>
      <c r="C4" s="2"/>
      <c r="D4" s="2"/>
      <c r="E4" s="2"/>
      <c r="F4" s="2">
        <v>11</v>
      </c>
      <c r="G4" s="2">
        <f t="shared" ref="G4:G16" si="0">SUM(E4:F4)</f>
        <v>11</v>
      </c>
    </row>
    <row r="5" spans="2:7" x14ac:dyDescent="0.3">
      <c r="B5" s="2" t="s">
        <v>98</v>
      </c>
      <c r="C5" s="2"/>
      <c r="D5" s="2"/>
      <c r="E5" s="2"/>
      <c r="F5" s="2">
        <v>19</v>
      </c>
      <c r="G5" s="2">
        <f t="shared" si="0"/>
        <v>19</v>
      </c>
    </row>
    <row r="6" spans="2:7" x14ac:dyDescent="0.3">
      <c r="B6" s="2" t="s">
        <v>99</v>
      </c>
      <c r="C6" s="2"/>
      <c r="D6" s="2"/>
      <c r="E6" s="2"/>
      <c r="F6" s="2">
        <v>2</v>
      </c>
      <c r="G6" s="2">
        <f t="shared" si="0"/>
        <v>2</v>
      </c>
    </row>
    <row r="7" spans="2:7" x14ac:dyDescent="0.3">
      <c r="B7" s="2" t="s">
        <v>100</v>
      </c>
      <c r="C7" s="2"/>
      <c r="D7" s="2"/>
      <c r="E7" s="2"/>
      <c r="F7" s="2">
        <v>11</v>
      </c>
      <c r="G7" s="2">
        <f t="shared" si="0"/>
        <v>11</v>
      </c>
    </row>
    <row r="8" spans="2:7" x14ac:dyDescent="0.3">
      <c r="B8" s="2" t="s">
        <v>101</v>
      </c>
      <c r="C8" s="2"/>
      <c r="D8" s="2"/>
      <c r="E8" s="2"/>
      <c r="F8" s="2">
        <v>5</v>
      </c>
      <c r="G8" s="2">
        <f t="shared" si="0"/>
        <v>5</v>
      </c>
    </row>
    <row r="9" spans="2:7" x14ac:dyDescent="0.3">
      <c r="B9" s="2" t="s">
        <v>102</v>
      </c>
      <c r="C9" s="2"/>
      <c r="D9" s="2"/>
      <c r="E9" s="2"/>
      <c r="F9" s="2">
        <v>14</v>
      </c>
      <c r="G9" s="2">
        <f t="shared" si="0"/>
        <v>14</v>
      </c>
    </row>
    <row r="10" spans="2:7" ht="25.2" customHeight="1" x14ac:dyDescent="0.3">
      <c r="B10" s="2" t="s">
        <v>103</v>
      </c>
      <c r="C10" s="2"/>
      <c r="D10" s="2"/>
      <c r="E10" s="2"/>
      <c r="F10" s="2">
        <v>19</v>
      </c>
      <c r="G10" s="2">
        <f t="shared" si="0"/>
        <v>19</v>
      </c>
    </row>
    <row r="11" spans="2:7" x14ac:dyDescent="0.3">
      <c r="B11" s="2" t="s">
        <v>104</v>
      </c>
      <c r="C11" s="2"/>
      <c r="D11" s="2"/>
      <c r="E11" s="2"/>
      <c r="F11" s="2">
        <v>27</v>
      </c>
      <c r="G11" s="2">
        <f t="shared" si="0"/>
        <v>27</v>
      </c>
    </row>
    <row r="12" spans="2:7" ht="31.2" x14ac:dyDescent="0.3">
      <c r="B12" s="2" t="s">
        <v>105</v>
      </c>
      <c r="C12" s="2"/>
      <c r="D12" s="2"/>
      <c r="E12" s="2"/>
      <c r="F12" s="2">
        <v>10</v>
      </c>
      <c r="G12" s="2">
        <f t="shared" si="0"/>
        <v>10</v>
      </c>
    </row>
    <row r="13" spans="2:7" x14ac:dyDescent="0.3">
      <c r="B13" s="2" t="s">
        <v>106</v>
      </c>
      <c r="C13" s="2"/>
      <c r="D13" s="2"/>
      <c r="E13" s="2">
        <v>1</v>
      </c>
      <c r="F13" s="2">
        <v>22</v>
      </c>
      <c r="G13" s="2">
        <f t="shared" si="0"/>
        <v>23</v>
      </c>
    </row>
    <row r="14" spans="2:7" x14ac:dyDescent="0.3">
      <c r="B14" s="2" t="s">
        <v>107</v>
      </c>
      <c r="C14" s="2"/>
      <c r="D14" s="2"/>
      <c r="E14" s="2"/>
      <c r="F14" s="2">
        <v>15</v>
      </c>
      <c r="G14" s="2">
        <f t="shared" si="0"/>
        <v>15</v>
      </c>
    </row>
    <row r="15" spans="2:7" x14ac:dyDescent="0.3">
      <c r="B15" s="2" t="s">
        <v>116</v>
      </c>
      <c r="C15" s="2"/>
      <c r="D15" s="2"/>
      <c r="E15" s="2"/>
      <c r="F15" s="2">
        <v>8</v>
      </c>
      <c r="G15" s="2">
        <f t="shared" si="0"/>
        <v>8</v>
      </c>
    </row>
    <row r="16" spans="2:7" ht="18" customHeight="1" x14ac:dyDescent="0.3">
      <c r="B16" s="2" t="s">
        <v>108</v>
      </c>
      <c r="C16" s="2"/>
      <c r="D16" s="2"/>
      <c r="E16" s="2"/>
      <c r="F16" s="2">
        <v>13</v>
      </c>
      <c r="G16" s="2">
        <f t="shared" si="0"/>
        <v>13</v>
      </c>
    </row>
    <row r="17" spans="2:8" x14ac:dyDescent="0.3">
      <c r="B17" s="2" t="s">
        <v>109</v>
      </c>
      <c r="C17" s="2"/>
      <c r="D17" s="2"/>
      <c r="E17" s="2"/>
      <c r="F17" s="2">
        <v>20</v>
      </c>
      <c r="G17" s="2">
        <f>SUM(E17:F17)</f>
        <v>20</v>
      </c>
    </row>
    <row r="18" spans="2:8" x14ac:dyDescent="0.3">
      <c r="B18" s="2" t="s">
        <v>110</v>
      </c>
      <c r="C18" s="2"/>
      <c r="D18" s="2"/>
      <c r="E18" s="2"/>
      <c r="F18" s="2">
        <v>14</v>
      </c>
      <c r="G18" s="2">
        <f t="shared" ref="G18:G29" si="1">SUM(E18:F18)</f>
        <v>14</v>
      </c>
    </row>
    <row r="19" spans="2:8" x14ac:dyDescent="0.3">
      <c r="B19" s="2" t="s">
        <v>111</v>
      </c>
      <c r="C19" s="2"/>
      <c r="D19" s="2"/>
      <c r="E19" s="2"/>
      <c r="F19" s="2">
        <v>51</v>
      </c>
      <c r="G19" s="2">
        <f t="shared" si="1"/>
        <v>51</v>
      </c>
    </row>
    <row r="20" spans="2:8" x14ac:dyDescent="0.3">
      <c r="B20" s="2" t="s">
        <v>170</v>
      </c>
      <c r="C20" s="2"/>
      <c r="D20" s="2"/>
      <c r="E20" s="2"/>
      <c r="F20" s="2">
        <v>22</v>
      </c>
      <c r="G20" s="2">
        <f t="shared" si="1"/>
        <v>22</v>
      </c>
    </row>
    <row r="21" spans="2:8" x14ac:dyDescent="0.3">
      <c r="B21" s="2" t="s">
        <v>112</v>
      </c>
      <c r="C21" s="2"/>
      <c r="D21" s="2"/>
      <c r="E21" s="2"/>
      <c r="F21" s="2">
        <v>20</v>
      </c>
      <c r="G21" s="2">
        <f t="shared" si="1"/>
        <v>20</v>
      </c>
    </row>
    <row r="22" spans="2:8" x14ac:dyDescent="0.3">
      <c r="B22" s="2" t="s">
        <v>113</v>
      </c>
      <c r="C22" s="2"/>
      <c r="D22" s="2"/>
      <c r="E22" s="2"/>
      <c r="F22" s="2">
        <v>16</v>
      </c>
      <c r="G22" s="2">
        <f t="shared" si="1"/>
        <v>16</v>
      </c>
    </row>
    <row r="23" spans="2:8" ht="31.2" x14ac:dyDescent="0.3">
      <c r="B23" s="2" t="s">
        <v>114</v>
      </c>
      <c r="C23" s="2"/>
      <c r="D23" s="2"/>
      <c r="E23" s="2"/>
      <c r="F23" s="2">
        <v>50</v>
      </c>
      <c r="G23" s="2">
        <f t="shared" si="1"/>
        <v>50</v>
      </c>
    </row>
    <row r="24" spans="2:8" ht="31.2" x14ac:dyDescent="0.3">
      <c r="B24" s="2" t="s">
        <v>115</v>
      </c>
      <c r="C24" s="2"/>
      <c r="D24" s="2"/>
      <c r="E24" s="2"/>
      <c r="F24" s="2">
        <v>25</v>
      </c>
      <c r="G24" s="2">
        <f>SUM(E24:F24)</f>
        <v>25</v>
      </c>
    </row>
    <row r="25" spans="2:8" ht="31.2" x14ac:dyDescent="0.3">
      <c r="B25" s="2" t="s">
        <v>117</v>
      </c>
      <c r="C25" s="2"/>
      <c r="D25" s="2"/>
      <c r="E25" s="2"/>
      <c r="F25" s="2">
        <v>50</v>
      </c>
      <c r="G25" s="2">
        <f t="shared" si="1"/>
        <v>50</v>
      </c>
    </row>
    <row r="26" spans="2:8" ht="31.2" x14ac:dyDescent="0.3">
      <c r="B26" s="2" t="s">
        <v>118</v>
      </c>
      <c r="C26" s="2"/>
      <c r="D26" s="2"/>
      <c r="E26" s="2"/>
      <c r="F26" s="2">
        <v>16</v>
      </c>
      <c r="G26" s="2">
        <f t="shared" si="1"/>
        <v>16</v>
      </c>
    </row>
    <row r="27" spans="2:8" ht="31.2" x14ac:dyDescent="0.3">
      <c r="B27" s="2" t="s">
        <v>119</v>
      </c>
      <c r="C27" s="2"/>
      <c r="D27" s="2"/>
      <c r="E27" s="2"/>
      <c r="F27" s="2">
        <v>11</v>
      </c>
      <c r="G27" s="2">
        <f t="shared" si="1"/>
        <v>11</v>
      </c>
    </row>
    <row r="28" spans="2:8" ht="31.2" x14ac:dyDescent="0.3">
      <c r="B28" s="2" t="s">
        <v>120</v>
      </c>
      <c r="C28" s="2"/>
      <c r="D28" s="2"/>
      <c r="E28" s="2"/>
      <c r="F28" s="2">
        <v>14</v>
      </c>
      <c r="G28" s="2">
        <f t="shared" si="1"/>
        <v>14</v>
      </c>
    </row>
    <row r="29" spans="2:8" ht="31.2" x14ac:dyDescent="0.3">
      <c r="B29" s="2" t="s">
        <v>184</v>
      </c>
      <c r="C29" s="2"/>
      <c r="D29" s="2"/>
      <c r="E29" s="2"/>
      <c r="F29" s="2">
        <v>48</v>
      </c>
      <c r="G29" s="2">
        <f t="shared" si="1"/>
        <v>48</v>
      </c>
    </row>
    <row r="30" spans="2:8" x14ac:dyDescent="0.3">
      <c r="B30" s="7" t="s">
        <v>121</v>
      </c>
      <c r="C30" s="7"/>
      <c r="D30" s="2"/>
      <c r="E30" s="2"/>
      <c r="F30" s="2">
        <v>12</v>
      </c>
      <c r="G30" s="2">
        <f>SUM(E30:F30)</f>
        <v>12</v>
      </c>
    </row>
    <row r="31" spans="2:8" x14ac:dyDescent="0.3">
      <c r="B31" s="7" t="s">
        <v>122</v>
      </c>
      <c r="C31" s="2"/>
      <c r="D31" s="2"/>
      <c r="E31" s="2"/>
      <c r="F31" s="2">
        <v>6</v>
      </c>
      <c r="G31" s="2">
        <f t="shared" ref="G31:G33" si="2">SUM(E31:F31)</f>
        <v>6</v>
      </c>
      <c r="H31" s="8"/>
    </row>
    <row r="32" spans="2:8" x14ac:dyDescent="0.3">
      <c r="B32" s="7" t="s">
        <v>194</v>
      </c>
      <c r="C32" s="2"/>
      <c r="D32" s="2"/>
      <c r="E32" s="2"/>
      <c r="F32" s="2">
        <v>1</v>
      </c>
      <c r="G32" s="2">
        <f t="shared" si="2"/>
        <v>1</v>
      </c>
      <c r="H32" s="8"/>
    </row>
    <row r="33" spans="2:8" x14ac:dyDescent="0.3">
      <c r="B33" s="7" t="s">
        <v>195</v>
      </c>
      <c r="C33" s="2"/>
      <c r="D33" s="2"/>
      <c r="E33" s="2"/>
      <c r="F33" s="2">
        <v>1</v>
      </c>
      <c r="G33" s="2">
        <f t="shared" si="2"/>
        <v>1</v>
      </c>
      <c r="H33" s="8"/>
    </row>
    <row r="34" spans="2:8" x14ac:dyDescent="0.3">
      <c r="B34" s="7" t="s">
        <v>123</v>
      </c>
      <c r="C34" s="2"/>
      <c r="D34" s="2"/>
      <c r="E34" s="2"/>
      <c r="F34" s="2">
        <v>2</v>
      </c>
      <c r="G34" s="2">
        <f t="shared" ref="G34:G48" si="3">SUM(E34:F34)</f>
        <v>2</v>
      </c>
    </row>
    <row r="35" spans="2:8" x14ac:dyDescent="0.3">
      <c r="B35" s="7" t="s">
        <v>129</v>
      </c>
      <c r="C35" s="2"/>
      <c r="D35" s="3"/>
      <c r="E35" s="3"/>
      <c r="F35" s="3">
        <v>4</v>
      </c>
      <c r="G35" s="2">
        <f t="shared" si="3"/>
        <v>4</v>
      </c>
    </row>
    <row r="36" spans="2:8" x14ac:dyDescent="0.3">
      <c r="B36" s="2" t="s">
        <v>130</v>
      </c>
      <c r="C36" s="2"/>
      <c r="D36" s="2"/>
      <c r="E36" s="2"/>
      <c r="F36" s="2">
        <v>3</v>
      </c>
      <c r="G36" s="2">
        <f t="shared" si="3"/>
        <v>3</v>
      </c>
    </row>
    <row r="37" spans="2:8" x14ac:dyDescent="0.3">
      <c r="B37" s="2" t="s">
        <v>131</v>
      </c>
      <c r="C37" s="2"/>
      <c r="D37" s="2"/>
      <c r="E37" s="2"/>
      <c r="F37" s="2">
        <v>2</v>
      </c>
      <c r="G37" s="2">
        <f t="shared" si="3"/>
        <v>2</v>
      </c>
    </row>
    <row r="38" spans="2:8" x14ac:dyDescent="0.3">
      <c r="B38" s="2" t="s">
        <v>132</v>
      </c>
      <c r="C38" s="2"/>
      <c r="D38" s="2"/>
      <c r="E38" s="2"/>
      <c r="F38" s="2">
        <v>2</v>
      </c>
      <c r="G38" s="2">
        <f t="shared" si="3"/>
        <v>2</v>
      </c>
    </row>
    <row r="39" spans="2:8" x14ac:dyDescent="0.3">
      <c r="B39" s="2" t="s">
        <v>124</v>
      </c>
      <c r="C39" s="2"/>
      <c r="D39" s="2"/>
      <c r="E39" s="2"/>
      <c r="F39" s="2">
        <v>4</v>
      </c>
      <c r="G39" s="2">
        <f t="shared" si="3"/>
        <v>4</v>
      </c>
    </row>
    <row r="40" spans="2:8" x14ac:dyDescent="0.3">
      <c r="B40" s="2" t="s">
        <v>125</v>
      </c>
      <c r="C40" s="2"/>
      <c r="D40" s="2"/>
      <c r="E40" s="2"/>
      <c r="F40" s="2">
        <v>6</v>
      </c>
      <c r="G40" s="2">
        <f t="shared" si="3"/>
        <v>6</v>
      </c>
    </row>
    <row r="41" spans="2:8" x14ac:dyDescent="0.3">
      <c r="B41" s="2" t="s">
        <v>127</v>
      </c>
      <c r="C41" s="2"/>
      <c r="D41" s="2"/>
      <c r="E41" s="2"/>
      <c r="F41" s="2">
        <v>2</v>
      </c>
      <c r="G41" s="2">
        <f t="shared" si="3"/>
        <v>2</v>
      </c>
    </row>
    <row r="42" spans="2:8" x14ac:dyDescent="0.3">
      <c r="B42" s="2" t="s">
        <v>126</v>
      </c>
      <c r="C42" s="2"/>
      <c r="D42" s="2"/>
      <c r="E42" s="2"/>
      <c r="F42" s="2">
        <v>1</v>
      </c>
      <c r="G42" s="2">
        <f t="shared" si="3"/>
        <v>1</v>
      </c>
    </row>
    <row r="43" spans="2:8" x14ac:dyDescent="0.3">
      <c r="B43" s="2" t="s">
        <v>149</v>
      </c>
      <c r="C43" s="2"/>
      <c r="D43" s="2"/>
      <c r="E43" s="2"/>
      <c r="F43" s="2">
        <v>1</v>
      </c>
      <c r="G43" s="2">
        <f t="shared" si="3"/>
        <v>1</v>
      </c>
    </row>
    <row r="44" spans="2:8" x14ac:dyDescent="0.3">
      <c r="B44" s="2" t="s">
        <v>191</v>
      </c>
      <c r="C44" s="2"/>
      <c r="D44" s="2"/>
      <c r="E44" s="2"/>
      <c r="F44" s="2">
        <v>2</v>
      </c>
      <c r="G44" s="2">
        <f t="shared" si="3"/>
        <v>2</v>
      </c>
    </row>
    <row r="45" spans="2:8" x14ac:dyDescent="0.3">
      <c r="B45" s="2" t="s">
        <v>128</v>
      </c>
      <c r="C45" s="2"/>
      <c r="D45" s="2"/>
      <c r="E45" s="2"/>
      <c r="F45" s="2">
        <v>3</v>
      </c>
      <c r="G45" s="2">
        <f t="shared" si="3"/>
        <v>3</v>
      </c>
    </row>
    <row r="46" spans="2:8" x14ac:dyDescent="0.3">
      <c r="B46" s="2" t="s">
        <v>133</v>
      </c>
      <c r="C46" s="2"/>
      <c r="D46" s="2"/>
      <c r="E46" s="2"/>
      <c r="F46" s="2">
        <v>5</v>
      </c>
      <c r="G46" s="2">
        <f t="shared" si="3"/>
        <v>5</v>
      </c>
    </row>
    <row r="47" spans="2:8" x14ac:dyDescent="0.3">
      <c r="B47" s="2" t="s">
        <v>134</v>
      </c>
      <c r="C47" s="2"/>
      <c r="D47" s="2"/>
      <c r="E47" s="2"/>
      <c r="F47" s="2">
        <v>5</v>
      </c>
      <c r="G47" s="2">
        <f t="shared" si="3"/>
        <v>5</v>
      </c>
    </row>
    <row r="48" spans="2:8" x14ac:dyDescent="0.3">
      <c r="B48" s="2" t="s">
        <v>135</v>
      </c>
      <c r="C48" s="2"/>
      <c r="D48" s="2"/>
      <c r="E48" s="2"/>
      <c r="F48" s="2">
        <v>3</v>
      </c>
      <c r="G48" s="2">
        <f t="shared" si="3"/>
        <v>3</v>
      </c>
    </row>
    <row r="49" spans="2:7" x14ac:dyDescent="0.3">
      <c r="B49" s="2" t="s">
        <v>136</v>
      </c>
      <c r="C49" s="2"/>
      <c r="D49" s="2"/>
      <c r="E49" s="2"/>
      <c r="F49" s="2">
        <v>4</v>
      </c>
      <c r="G49" s="2">
        <f t="shared" ref="G49:G50" si="4">SUM(E49:F49)</f>
        <v>4</v>
      </c>
    </row>
    <row r="50" spans="2:7" x14ac:dyDescent="0.3">
      <c r="B50" s="2" t="s">
        <v>137</v>
      </c>
      <c r="C50" s="2"/>
      <c r="D50" s="2"/>
      <c r="E50" s="2"/>
      <c r="F50" s="2">
        <v>4</v>
      </c>
      <c r="G50" s="2">
        <f t="shared" si="4"/>
        <v>4</v>
      </c>
    </row>
    <row r="51" spans="2:7" x14ac:dyDescent="0.3">
      <c r="B51" s="2" t="s">
        <v>193</v>
      </c>
      <c r="C51" s="2"/>
      <c r="D51" s="2"/>
      <c r="E51" s="2"/>
      <c r="F51" s="2">
        <v>1</v>
      </c>
      <c r="G51" s="2">
        <f t="shared" ref="G51" si="5">SUM(E51:F51)</f>
        <v>1</v>
      </c>
    </row>
    <row r="52" spans="2:7" x14ac:dyDescent="0.3">
      <c r="B52" s="2" t="s">
        <v>138</v>
      </c>
      <c r="C52" s="2"/>
      <c r="D52" s="2"/>
      <c r="E52" s="2"/>
      <c r="F52" s="2">
        <v>3</v>
      </c>
      <c r="G52" s="2">
        <f>SUM(E52:F52)</f>
        <v>3</v>
      </c>
    </row>
    <row r="53" spans="2:7" x14ac:dyDescent="0.3">
      <c r="B53" s="2" t="s">
        <v>139</v>
      </c>
      <c r="C53" s="2"/>
      <c r="D53" s="2"/>
      <c r="E53" s="2"/>
      <c r="F53" s="2">
        <v>5</v>
      </c>
      <c r="G53" s="2">
        <f>SUM(E53:F53)</f>
        <v>5</v>
      </c>
    </row>
    <row r="54" spans="2:7" x14ac:dyDescent="0.3">
      <c r="B54" s="2" t="s">
        <v>192</v>
      </c>
      <c r="C54" s="2"/>
      <c r="D54" s="2"/>
      <c r="E54" s="2"/>
      <c r="F54" s="2">
        <v>1</v>
      </c>
      <c r="G54" s="2">
        <f t="shared" ref="G54" si="6">SUM(E54:F54)</f>
        <v>1</v>
      </c>
    </row>
    <row r="55" spans="2:7" x14ac:dyDescent="0.3">
      <c r="B55" s="2" t="s">
        <v>150</v>
      </c>
      <c r="C55" s="2"/>
      <c r="D55" s="2"/>
      <c r="E55" s="2"/>
      <c r="F55" s="1">
        <v>2</v>
      </c>
      <c r="G55" s="2">
        <f t="shared" ref="G55:G74" si="7">SUM(E55:F55)</f>
        <v>2</v>
      </c>
    </row>
    <row r="56" spans="2:7" x14ac:dyDescent="0.3">
      <c r="B56" s="2" t="s">
        <v>140</v>
      </c>
      <c r="C56" s="2"/>
      <c r="D56" s="2"/>
      <c r="E56" s="2"/>
      <c r="F56" s="2">
        <v>4</v>
      </c>
      <c r="G56" s="2">
        <f t="shared" si="7"/>
        <v>4</v>
      </c>
    </row>
    <row r="57" spans="2:7" x14ac:dyDescent="0.3">
      <c r="B57" s="2" t="s">
        <v>141</v>
      </c>
      <c r="C57" s="2"/>
      <c r="D57" s="2"/>
      <c r="E57" s="2"/>
      <c r="F57" s="2">
        <v>1</v>
      </c>
      <c r="G57" s="2">
        <f t="shared" si="7"/>
        <v>1</v>
      </c>
    </row>
    <row r="58" spans="2:7" x14ac:dyDescent="0.3">
      <c r="B58" s="2" t="s">
        <v>144</v>
      </c>
      <c r="C58" s="2"/>
      <c r="D58" s="2"/>
      <c r="E58" s="2"/>
      <c r="F58" s="2">
        <v>4</v>
      </c>
      <c r="G58" s="2">
        <f t="shared" si="7"/>
        <v>4</v>
      </c>
    </row>
    <row r="59" spans="2:7" x14ac:dyDescent="0.3">
      <c r="B59" s="2" t="s">
        <v>148</v>
      </c>
      <c r="D59" s="2"/>
      <c r="E59" s="2"/>
      <c r="F59" s="1">
        <v>2</v>
      </c>
      <c r="G59" s="2">
        <f t="shared" si="7"/>
        <v>2</v>
      </c>
    </row>
    <row r="60" spans="2:7" x14ac:dyDescent="0.3">
      <c r="B60" s="2" t="s">
        <v>145</v>
      </c>
      <c r="C60" s="2"/>
      <c r="D60" s="2"/>
      <c r="E60" s="2"/>
      <c r="F60" s="2">
        <v>4</v>
      </c>
      <c r="G60" s="2">
        <f t="shared" si="7"/>
        <v>4</v>
      </c>
    </row>
    <row r="61" spans="2:7" x14ac:dyDescent="0.3">
      <c r="B61" s="2" t="s">
        <v>146</v>
      </c>
      <c r="C61" s="2"/>
      <c r="D61" s="2"/>
      <c r="E61" s="2"/>
      <c r="F61" s="2">
        <v>4</v>
      </c>
      <c r="G61" s="2">
        <f t="shared" si="7"/>
        <v>4</v>
      </c>
    </row>
    <row r="62" spans="2:7" x14ac:dyDescent="0.3">
      <c r="B62" s="2" t="s">
        <v>142</v>
      </c>
      <c r="C62" s="2"/>
      <c r="D62" s="2"/>
      <c r="E62" s="2"/>
      <c r="F62" s="2">
        <v>4</v>
      </c>
      <c r="G62" s="2">
        <f t="shared" si="7"/>
        <v>4</v>
      </c>
    </row>
    <row r="63" spans="2:7" x14ac:dyDescent="0.3">
      <c r="B63" s="2" t="s">
        <v>143</v>
      </c>
      <c r="C63" s="2"/>
      <c r="D63" s="2"/>
      <c r="E63" s="2"/>
      <c r="F63" s="2">
        <v>4</v>
      </c>
      <c r="G63" s="2">
        <f t="shared" si="7"/>
        <v>4</v>
      </c>
    </row>
    <row r="64" spans="2:7" x14ac:dyDescent="0.3">
      <c r="B64" s="2" t="s">
        <v>147</v>
      </c>
      <c r="C64" s="2"/>
      <c r="D64" s="2"/>
      <c r="E64" s="2"/>
      <c r="F64" s="2">
        <v>4</v>
      </c>
      <c r="G64" s="2">
        <f t="shared" si="7"/>
        <v>4</v>
      </c>
    </row>
    <row r="65" spans="2:7" x14ac:dyDescent="0.3">
      <c r="B65" s="2" t="s">
        <v>224</v>
      </c>
      <c r="C65" s="2"/>
      <c r="D65" s="2"/>
      <c r="E65" s="2"/>
      <c r="F65" s="2">
        <v>6</v>
      </c>
      <c r="G65" s="2">
        <f t="shared" si="7"/>
        <v>6</v>
      </c>
    </row>
    <row r="66" spans="2:7" x14ac:dyDescent="0.3">
      <c r="B66" s="2" t="s">
        <v>151</v>
      </c>
      <c r="C66" s="2"/>
      <c r="D66" s="2"/>
      <c r="E66" s="2"/>
      <c r="F66" s="2">
        <v>10</v>
      </c>
      <c r="G66" s="2">
        <f t="shared" si="7"/>
        <v>10</v>
      </c>
    </row>
    <row r="67" spans="2:7" x14ac:dyDescent="0.3">
      <c r="B67" s="2" t="s">
        <v>155</v>
      </c>
      <c r="C67" s="2"/>
      <c r="D67" s="2"/>
      <c r="E67" s="2"/>
      <c r="F67" s="2">
        <v>16</v>
      </c>
      <c r="G67" s="2">
        <f t="shared" si="7"/>
        <v>16</v>
      </c>
    </row>
    <row r="68" spans="2:7" x14ac:dyDescent="0.3">
      <c r="B68" s="2" t="s">
        <v>152</v>
      </c>
      <c r="C68" s="2"/>
      <c r="D68" s="2"/>
      <c r="E68" s="2"/>
      <c r="F68" s="2">
        <v>10</v>
      </c>
      <c r="G68" s="2">
        <f t="shared" si="7"/>
        <v>10</v>
      </c>
    </row>
    <row r="69" spans="2:7" x14ac:dyDescent="0.3">
      <c r="B69" s="2" t="s">
        <v>153</v>
      </c>
      <c r="C69" s="2"/>
      <c r="D69" s="2"/>
      <c r="E69" s="2"/>
      <c r="F69" s="2">
        <v>2</v>
      </c>
      <c r="G69" s="2">
        <f t="shared" si="7"/>
        <v>2</v>
      </c>
    </row>
    <row r="70" spans="2:7" x14ac:dyDescent="0.3">
      <c r="B70" s="2" t="s">
        <v>154</v>
      </c>
      <c r="C70" s="2"/>
      <c r="D70" s="2"/>
      <c r="E70" s="2"/>
      <c r="F70" s="2">
        <v>2</v>
      </c>
      <c r="G70" s="2">
        <f t="shared" si="7"/>
        <v>2</v>
      </c>
    </row>
    <row r="71" spans="2:7" x14ac:dyDescent="0.3">
      <c r="B71" s="2" t="s">
        <v>156</v>
      </c>
      <c r="C71" s="2"/>
      <c r="D71" s="2"/>
      <c r="E71" s="2"/>
      <c r="F71" s="2">
        <v>50</v>
      </c>
      <c r="G71" s="2">
        <f t="shared" si="7"/>
        <v>50</v>
      </c>
    </row>
    <row r="72" spans="2:7" x14ac:dyDescent="0.3">
      <c r="B72" s="2" t="s">
        <v>157</v>
      </c>
      <c r="C72" s="2"/>
      <c r="D72" s="2"/>
      <c r="E72" s="2"/>
      <c r="F72" s="2">
        <v>50</v>
      </c>
      <c r="G72" s="2">
        <f t="shared" si="7"/>
        <v>50</v>
      </c>
    </row>
    <row r="73" spans="2:7" ht="31.2" x14ac:dyDescent="0.3">
      <c r="B73" s="2" t="s">
        <v>158</v>
      </c>
      <c r="C73" s="2"/>
      <c r="D73" s="2"/>
      <c r="E73" s="2"/>
      <c r="F73" s="2">
        <v>50</v>
      </c>
      <c r="G73" s="2">
        <f t="shared" si="7"/>
        <v>50</v>
      </c>
    </row>
    <row r="74" spans="2:7" ht="31.2" x14ac:dyDescent="0.3">
      <c r="B74" s="2" t="s">
        <v>159</v>
      </c>
      <c r="C74" s="2"/>
      <c r="D74" s="2"/>
      <c r="E74" s="2"/>
      <c r="F74" s="2">
        <v>50</v>
      </c>
      <c r="G74" s="2">
        <f t="shared" si="7"/>
        <v>50</v>
      </c>
    </row>
    <row r="75" spans="2:7" ht="31.2" x14ac:dyDescent="0.3">
      <c r="B75" s="2" t="s">
        <v>160</v>
      </c>
      <c r="C75" s="2"/>
      <c r="D75" s="2"/>
      <c r="E75" s="2"/>
      <c r="F75" s="2">
        <v>4</v>
      </c>
      <c r="G75" s="2">
        <f t="shared" ref="G75:G88" si="8">SUM(E75:F75)</f>
        <v>4</v>
      </c>
    </row>
    <row r="76" spans="2:7" ht="31.2" x14ac:dyDescent="0.3">
      <c r="B76" s="2" t="s">
        <v>161</v>
      </c>
      <c r="C76" s="2"/>
      <c r="D76" s="2"/>
      <c r="E76" s="2"/>
      <c r="F76" s="2">
        <v>6</v>
      </c>
      <c r="G76" s="2">
        <f t="shared" si="8"/>
        <v>6</v>
      </c>
    </row>
    <row r="77" spans="2:7" ht="31.2" x14ac:dyDescent="0.3">
      <c r="B77" s="2" t="s">
        <v>162</v>
      </c>
      <c r="C77" s="2"/>
      <c r="D77" s="2"/>
      <c r="E77" s="2"/>
      <c r="F77" s="2">
        <v>52</v>
      </c>
      <c r="G77" s="2">
        <f t="shared" si="8"/>
        <v>52</v>
      </c>
    </row>
    <row r="78" spans="2:7" x14ac:dyDescent="0.3">
      <c r="B78" s="2"/>
      <c r="C78" s="2"/>
      <c r="D78" s="2"/>
      <c r="E78" s="2"/>
      <c r="F78" s="2"/>
      <c r="G78" s="2"/>
    </row>
    <row r="79" spans="2:7" x14ac:dyDescent="0.3">
      <c r="B79" s="2" t="s">
        <v>163</v>
      </c>
      <c r="C79" s="2"/>
      <c r="D79" s="2"/>
      <c r="E79" s="2"/>
      <c r="F79" s="2">
        <v>3</v>
      </c>
      <c r="G79" s="2">
        <f t="shared" si="8"/>
        <v>3</v>
      </c>
    </row>
    <row r="80" spans="2:7" x14ac:dyDescent="0.3">
      <c r="B80" s="2" t="s">
        <v>164</v>
      </c>
      <c r="C80" s="2"/>
      <c r="D80" s="2"/>
      <c r="E80" s="2"/>
      <c r="F80" s="2">
        <v>13</v>
      </c>
      <c r="G80" s="2">
        <f>SUM(E80:F80)</f>
        <v>13</v>
      </c>
    </row>
    <row r="81" spans="2:7" ht="31.2" x14ac:dyDescent="0.3">
      <c r="B81" s="2" t="s">
        <v>165</v>
      </c>
      <c r="C81" s="2"/>
      <c r="D81" s="2"/>
      <c r="E81" s="2"/>
      <c r="F81" s="2">
        <v>13</v>
      </c>
      <c r="G81" s="2">
        <f t="shared" si="8"/>
        <v>13</v>
      </c>
    </row>
    <row r="82" spans="2:7" ht="31.2" x14ac:dyDescent="0.3">
      <c r="B82" s="2" t="s">
        <v>166</v>
      </c>
      <c r="C82" s="2"/>
      <c r="D82" s="2"/>
      <c r="E82" s="2"/>
      <c r="F82" s="2">
        <v>5</v>
      </c>
      <c r="G82" s="2">
        <f t="shared" si="8"/>
        <v>5</v>
      </c>
    </row>
    <row r="83" spans="2:7" ht="31.2" x14ac:dyDescent="0.3">
      <c r="B83" s="2" t="s">
        <v>167</v>
      </c>
      <c r="C83" s="2"/>
      <c r="D83" s="2"/>
      <c r="E83" s="2"/>
      <c r="F83" s="2">
        <v>5</v>
      </c>
      <c r="G83" s="2">
        <f t="shared" si="8"/>
        <v>5</v>
      </c>
    </row>
    <row r="84" spans="2:7" ht="31.2" x14ac:dyDescent="0.3">
      <c r="B84" s="2" t="s">
        <v>168</v>
      </c>
      <c r="C84" s="2"/>
      <c r="D84" s="2"/>
      <c r="E84" s="2"/>
      <c r="F84" s="2">
        <v>5</v>
      </c>
      <c r="G84" s="2">
        <f t="shared" si="8"/>
        <v>5</v>
      </c>
    </row>
    <row r="85" spans="2:7" ht="31.2" x14ac:dyDescent="0.3">
      <c r="B85" s="2" t="s">
        <v>167</v>
      </c>
      <c r="C85" s="2"/>
      <c r="D85" s="2"/>
      <c r="E85" s="2"/>
      <c r="F85" s="2">
        <v>5</v>
      </c>
      <c r="G85" s="2">
        <f t="shared" si="8"/>
        <v>5</v>
      </c>
    </row>
    <row r="86" spans="2:7" x14ac:dyDescent="0.3">
      <c r="B86" s="2" t="s">
        <v>169</v>
      </c>
      <c r="C86" s="2"/>
      <c r="D86" s="2"/>
      <c r="E86" s="2"/>
      <c r="F86" s="2">
        <v>5</v>
      </c>
      <c r="G86" s="2">
        <f t="shared" si="8"/>
        <v>5</v>
      </c>
    </row>
    <row r="87" spans="2:7" x14ac:dyDescent="0.3">
      <c r="B87" s="2" t="s">
        <v>171</v>
      </c>
      <c r="C87" s="2"/>
      <c r="D87" s="2"/>
      <c r="E87" s="2"/>
      <c r="F87" s="2">
        <v>4</v>
      </c>
      <c r="G87" s="2">
        <f t="shared" si="8"/>
        <v>4</v>
      </c>
    </row>
    <row r="88" spans="2:7" ht="31.2" x14ac:dyDescent="0.3">
      <c r="B88" s="2" t="s">
        <v>172</v>
      </c>
      <c r="C88" s="2"/>
      <c r="D88" s="2"/>
      <c r="E88" s="2"/>
      <c r="F88" s="2">
        <v>8</v>
      </c>
      <c r="G88" s="2">
        <f t="shared" si="8"/>
        <v>8</v>
      </c>
    </row>
    <row r="89" spans="2:7" x14ac:dyDescent="0.3">
      <c r="B89" s="2" t="s">
        <v>173</v>
      </c>
      <c r="C89" s="2"/>
      <c r="D89" s="2"/>
      <c r="E89" s="2"/>
      <c r="F89" s="2">
        <v>15</v>
      </c>
      <c r="G89" s="2">
        <f t="shared" ref="G89" si="9">SUM(E89:F89)</f>
        <v>15</v>
      </c>
    </row>
    <row r="90" spans="2:7" ht="31.2" x14ac:dyDescent="0.3">
      <c r="B90" s="2" t="s">
        <v>174</v>
      </c>
      <c r="C90" s="2"/>
      <c r="D90" s="2"/>
      <c r="E90" s="2"/>
      <c r="F90" s="2">
        <v>5</v>
      </c>
      <c r="G90" s="2">
        <f t="shared" ref="G90:G99" si="10">SUM(E90:F90)</f>
        <v>5</v>
      </c>
    </row>
    <row r="91" spans="2:7" x14ac:dyDescent="0.3">
      <c r="B91" s="2" t="s">
        <v>175</v>
      </c>
      <c r="C91" s="2"/>
      <c r="D91" s="2"/>
      <c r="E91" s="2"/>
      <c r="F91" s="2">
        <v>5</v>
      </c>
      <c r="G91" s="2">
        <f>SUM(E91:F91)</f>
        <v>5</v>
      </c>
    </row>
    <row r="92" spans="2:7" x14ac:dyDescent="0.3">
      <c r="B92" s="2" t="s">
        <v>3</v>
      </c>
      <c r="C92" s="2"/>
      <c r="D92" s="2"/>
      <c r="E92" s="2"/>
      <c r="F92" s="2">
        <v>6</v>
      </c>
      <c r="G92" s="2">
        <f t="shared" si="10"/>
        <v>6</v>
      </c>
    </row>
    <row r="93" spans="2:7" x14ac:dyDescent="0.3">
      <c r="B93" s="2" t="s">
        <v>176</v>
      </c>
      <c r="C93" s="2"/>
      <c r="D93" s="2"/>
      <c r="E93" s="2"/>
      <c r="F93" s="2">
        <v>30</v>
      </c>
      <c r="G93" s="2">
        <f t="shared" si="10"/>
        <v>30</v>
      </c>
    </row>
    <row r="94" spans="2:7" x14ac:dyDescent="0.3">
      <c r="B94" s="2" t="s">
        <v>177</v>
      </c>
      <c r="C94" s="2"/>
      <c r="D94" s="2"/>
      <c r="E94" s="2"/>
      <c r="F94" s="2">
        <v>3</v>
      </c>
      <c r="G94" s="2">
        <f t="shared" si="10"/>
        <v>3</v>
      </c>
    </row>
    <row r="95" spans="2:7" ht="31.2" x14ac:dyDescent="0.3">
      <c r="B95" s="2" t="s">
        <v>178</v>
      </c>
      <c r="C95" s="2"/>
      <c r="D95" s="2"/>
      <c r="E95" s="2"/>
      <c r="F95" s="2">
        <v>3</v>
      </c>
      <c r="G95" s="2">
        <f t="shared" si="10"/>
        <v>3</v>
      </c>
    </row>
    <row r="96" spans="2:7" x14ac:dyDescent="0.3">
      <c r="B96" s="2" t="s">
        <v>179</v>
      </c>
      <c r="C96" s="2"/>
      <c r="D96" s="2"/>
      <c r="E96" s="2"/>
      <c r="F96" s="2">
        <v>2</v>
      </c>
      <c r="G96" s="2">
        <f t="shared" si="10"/>
        <v>2</v>
      </c>
    </row>
    <row r="97" spans="2:7" ht="31.2" x14ac:dyDescent="0.3">
      <c r="B97" s="2" t="s">
        <v>180</v>
      </c>
      <c r="C97" s="2"/>
      <c r="D97" s="2"/>
      <c r="E97" s="2">
        <v>1</v>
      </c>
      <c r="F97" s="2">
        <v>3</v>
      </c>
      <c r="G97" s="2">
        <f t="shared" si="10"/>
        <v>4</v>
      </c>
    </row>
    <row r="98" spans="2:7" ht="19.2" customHeight="1" x14ac:dyDescent="0.3">
      <c r="B98" s="2" t="s">
        <v>181</v>
      </c>
      <c r="C98" s="2"/>
      <c r="D98" s="2"/>
      <c r="E98" s="2"/>
      <c r="F98" s="2">
        <v>2</v>
      </c>
      <c r="G98" s="2">
        <f t="shared" si="10"/>
        <v>2</v>
      </c>
    </row>
    <row r="99" spans="2:7" x14ac:dyDescent="0.3">
      <c r="B99" s="2" t="s">
        <v>182</v>
      </c>
      <c r="C99" s="2"/>
      <c r="D99" s="2"/>
      <c r="E99" s="2"/>
      <c r="F99" s="2">
        <v>10</v>
      </c>
      <c r="G99" s="2">
        <f t="shared" si="10"/>
        <v>10</v>
      </c>
    </row>
    <row r="100" spans="2:7" x14ac:dyDescent="0.3">
      <c r="B100" s="2" t="s">
        <v>183</v>
      </c>
      <c r="C100" s="2"/>
      <c r="D100" s="2"/>
      <c r="E100" s="2"/>
      <c r="F100" s="2">
        <v>6</v>
      </c>
      <c r="G100" s="2">
        <f t="shared" ref="G100:G106" si="11">SUM(E100:F100)</f>
        <v>6</v>
      </c>
    </row>
    <row r="101" spans="2:7" x14ac:dyDescent="0.3">
      <c r="B101" s="2" t="s">
        <v>185</v>
      </c>
      <c r="C101" s="2"/>
      <c r="D101" s="2"/>
      <c r="E101" s="2"/>
      <c r="F101" s="2">
        <v>29</v>
      </c>
      <c r="G101" s="2">
        <f t="shared" si="11"/>
        <v>29</v>
      </c>
    </row>
    <row r="102" spans="2:7" ht="31.2" x14ac:dyDescent="0.3">
      <c r="B102" s="2" t="s">
        <v>186</v>
      </c>
      <c r="C102" s="2"/>
      <c r="D102" s="2"/>
      <c r="E102" s="2"/>
      <c r="F102" s="2">
        <v>14</v>
      </c>
      <c r="G102" s="2">
        <f t="shared" si="11"/>
        <v>14</v>
      </c>
    </row>
    <row r="103" spans="2:7" x14ac:dyDescent="0.3">
      <c r="B103" s="2" t="s">
        <v>189</v>
      </c>
      <c r="C103" s="2"/>
      <c r="D103" s="2"/>
      <c r="E103" s="2"/>
      <c r="F103" s="2">
        <v>42</v>
      </c>
      <c r="G103" s="2">
        <f t="shared" si="11"/>
        <v>42</v>
      </c>
    </row>
    <row r="104" spans="2:7" x14ac:dyDescent="0.3">
      <c r="B104" s="2" t="s">
        <v>187</v>
      </c>
      <c r="C104" s="2"/>
      <c r="D104" s="2"/>
      <c r="E104" s="2"/>
      <c r="F104" s="2">
        <v>6</v>
      </c>
      <c r="G104" s="2">
        <f t="shared" si="11"/>
        <v>6</v>
      </c>
    </row>
    <row r="105" spans="2:7" x14ac:dyDescent="0.3">
      <c r="B105" s="2" t="s">
        <v>188</v>
      </c>
      <c r="C105" s="2"/>
      <c r="D105" s="2"/>
      <c r="E105" s="2"/>
      <c r="F105" s="2">
        <v>6</v>
      </c>
      <c r="G105" s="2">
        <f t="shared" si="11"/>
        <v>6</v>
      </c>
    </row>
    <row r="106" spans="2:7" ht="31.2" x14ac:dyDescent="0.3">
      <c r="B106" s="2" t="s">
        <v>190</v>
      </c>
      <c r="C106" s="2"/>
      <c r="D106" s="2"/>
      <c r="E106" s="2"/>
      <c r="F106" s="2">
        <v>3</v>
      </c>
      <c r="G106" s="2">
        <f t="shared" si="11"/>
        <v>3</v>
      </c>
    </row>
    <row r="107" spans="2:7" x14ac:dyDescent="0.3">
      <c r="B107" s="2" t="s">
        <v>196</v>
      </c>
      <c r="C107" s="2"/>
      <c r="D107" s="2"/>
      <c r="E107" s="2">
        <v>1</v>
      </c>
      <c r="F107" s="2">
        <v>3</v>
      </c>
      <c r="G107" s="2">
        <f t="shared" ref="G107" si="12">SUM(E107:F107)</f>
        <v>4</v>
      </c>
    </row>
    <row r="108" spans="2:7" x14ac:dyDescent="0.3">
      <c r="B108" s="2" t="s">
        <v>197</v>
      </c>
      <c r="C108" s="2"/>
      <c r="D108" s="2"/>
      <c r="E108" s="2"/>
      <c r="F108" s="2">
        <v>1</v>
      </c>
      <c r="G108" s="2">
        <f t="shared" ref="G108:G118" si="13">SUM(E108:F108)</f>
        <v>1</v>
      </c>
    </row>
    <row r="109" spans="2:7" x14ac:dyDescent="0.3">
      <c r="B109" s="2" t="s">
        <v>198</v>
      </c>
      <c r="C109" s="2"/>
      <c r="D109" s="2"/>
      <c r="E109" s="2"/>
      <c r="F109" s="2">
        <v>1</v>
      </c>
      <c r="G109" s="2">
        <f t="shared" si="13"/>
        <v>1</v>
      </c>
    </row>
    <row r="110" spans="2:7" x14ac:dyDescent="0.3">
      <c r="B110" s="2" t="s">
        <v>199</v>
      </c>
      <c r="C110" s="2"/>
      <c r="D110" s="2"/>
      <c r="E110" s="2"/>
      <c r="F110" s="2">
        <v>1</v>
      </c>
      <c r="G110" s="2">
        <f t="shared" si="13"/>
        <v>1</v>
      </c>
    </row>
    <row r="111" spans="2:7" x14ac:dyDescent="0.3">
      <c r="B111" s="2" t="s">
        <v>200</v>
      </c>
      <c r="C111" s="2"/>
      <c r="D111" s="2"/>
      <c r="E111" s="2"/>
      <c r="F111" s="2">
        <v>1</v>
      </c>
      <c r="G111" s="2">
        <f t="shared" si="13"/>
        <v>1</v>
      </c>
    </row>
    <row r="112" spans="2:7" x14ac:dyDescent="0.3">
      <c r="B112" s="2" t="s">
        <v>201</v>
      </c>
      <c r="C112" s="2"/>
      <c r="D112" s="2"/>
      <c r="E112" s="2"/>
      <c r="F112" s="2">
        <v>1</v>
      </c>
      <c r="G112" s="2">
        <f t="shared" si="13"/>
        <v>1</v>
      </c>
    </row>
    <row r="113" spans="2:7" x14ac:dyDescent="0.3">
      <c r="B113" s="2" t="s">
        <v>202</v>
      </c>
      <c r="C113" s="2"/>
      <c r="D113" s="2"/>
      <c r="E113" s="2"/>
      <c r="F113" s="2">
        <v>1</v>
      </c>
      <c r="G113" s="2">
        <f t="shared" si="13"/>
        <v>1</v>
      </c>
    </row>
    <row r="114" spans="2:7" x14ac:dyDescent="0.3">
      <c r="B114" s="2" t="s">
        <v>203</v>
      </c>
      <c r="C114" s="2"/>
      <c r="D114" s="2"/>
      <c r="E114" s="2"/>
      <c r="F114" s="2">
        <v>1</v>
      </c>
      <c r="G114" s="2">
        <f t="shared" si="13"/>
        <v>1</v>
      </c>
    </row>
    <row r="115" spans="2:7" x14ac:dyDescent="0.3">
      <c r="B115" s="2" t="s">
        <v>204</v>
      </c>
      <c r="C115" s="2"/>
      <c r="D115" s="2"/>
      <c r="E115" s="2"/>
      <c r="F115" s="2">
        <v>1</v>
      </c>
      <c r="G115" s="2">
        <f t="shared" si="13"/>
        <v>1</v>
      </c>
    </row>
    <row r="116" spans="2:7" x14ac:dyDescent="0.3">
      <c r="B116" s="2" t="s">
        <v>205</v>
      </c>
      <c r="C116" s="2"/>
      <c r="D116" s="2"/>
      <c r="E116" s="2"/>
      <c r="F116" s="2">
        <v>1</v>
      </c>
      <c r="G116" s="2">
        <f t="shared" si="13"/>
        <v>1</v>
      </c>
    </row>
    <row r="117" spans="2:7" x14ac:dyDescent="0.3">
      <c r="B117" s="2" t="s">
        <v>203</v>
      </c>
      <c r="C117" s="2"/>
      <c r="D117" s="2"/>
      <c r="E117" s="2"/>
      <c r="F117" s="2">
        <v>1</v>
      </c>
      <c r="G117" s="2">
        <f t="shared" si="13"/>
        <v>1</v>
      </c>
    </row>
    <row r="118" spans="2:7" x14ac:dyDescent="0.3">
      <c r="B118" s="2" t="s">
        <v>206</v>
      </c>
      <c r="C118" s="2"/>
      <c r="D118" s="2"/>
      <c r="E118" s="2"/>
      <c r="F118" s="2">
        <v>1</v>
      </c>
      <c r="G118" s="2">
        <f t="shared" si="13"/>
        <v>1</v>
      </c>
    </row>
    <row r="119" spans="2:7" x14ac:dyDescent="0.3">
      <c r="B119" s="2" t="s">
        <v>207</v>
      </c>
      <c r="C119" s="2"/>
      <c r="D119" s="2"/>
      <c r="E119" s="2"/>
      <c r="F119" s="2">
        <v>1</v>
      </c>
      <c r="G119" s="2">
        <f t="shared" ref="G119:G128" si="14">SUM(E119:F119)</f>
        <v>1</v>
      </c>
    </row>
    <row r="120" spans="2:7" x14ac:dyDescent="0.3">
      <c r="B120" s="2" t="s">
        <v>208</v>
      </c>
      <c r="C120" s="2"/>
      <c r="D120" s="2"/>
      <c r="E120" s="2"/>
      <c r="F120" s="2">
        <v>1</v>
      </c>
      <c r="G120" s="2">
        <f t="shared" si="14"/>
        <v>1</v>
      </c>
    </row>
    <row r="121" spans="2:7" x14ac:dyDescent="0.3">
      <c r="B121" s="2" t="s">
        <v>209</v>
      </c>
      <c r="C121" s="2"/>
      <c r="D121" s="2"/>
      <c r="E121" s="2"/>
      <c r="F121" s="2">
        <v>1</v>
      </c>
      <c r="G121" s="2">
        <f t="shared" si="14"/>
        <v>1</v>
      </c>
    </row>
    <row r="122" spans="2:7" x14ac:dyDescent="0.3">
      <c r="B122" s="2" t="s">
        <v>210</v>
      </c>
      <c r="C122" s="2"/>
      <c r="D122" s="2"/>
      <c r="E122" s="2"/>
      <c r="F122" s="2">
        <v>1</v>
      </c>
      <c r="G122" s="2">
        <f t="shared" si="14"/>
        <v>1</v>
      </c>
    </row>
    <row r="123" spans="2:7" x14ac:dyDescent="0.3">
      <c r="B123" s="2" t="s">
        <v>211</v>
      </c>
      <c r="C123" s="2"/>
      <c r="D123" s="2"/>
      <c r="E123" s="2"/>
      <c r="F123" s="2">
        <v>1</v>
      </c>
      <c r="G123" s="2">
        <f t="shared" si="14"/>
        <v>1</v>
      </c>
    </row>
    <row r="124" spans="2:7" x14ac:dyDescent="0.3">
      <c r="B124" s="2" t="s">
        <v>212</v>
      </c>
      <c r="C124" s="2"/>
      <c r="D124" s="2"/>
      <c r="E124" s="2"/>
      <c r="F124" s="2">
        <v>1</v>
      </c>
      <c r="G124" s="2">
        <f t="shared" si="14"/>
        <v>1</v>
      </c>
    </row>
    <row r="125" spans="2:7" x14ac:dyDescent="0.3">
      <c r="B125" s="2" t="s">
        <v>213</v>
      </c>
      <c r="C125" s="2"/>
      <c r="D125" s="2"/>
      <c r="E125" s="2"/>
      <c r="F125" s="2">
        <v>1</v>
      </c>
      <c r="G125" s="2">
        <f t="shared" si="14"/>
        <v>1</v>
      </c>
    </row>
    <row r="126" spans="2:7" x14ac:dyDescent="0.3">
      <c r="B126" s="2" t="s">
        <v>214</v>
      </c>
      <c r="C126" s="2"/>
      <c r="D126" s="2"/>
      <c r="E126" s="2"/>
      <c r="F126" s="2">
        <v>1</v>
      </c>
      <c r="G126" s="2">
        <f t="shared" si="14"/>
        <v>1</v>
      </c>
    </row>
    <row r="127" spans="2:7" x14ac:dyDescent="0.3">
      <c r="B127" s="2" t="s">
        <v>215</v>
      </c>
      <c r="C127" s="2"/>
      <c r="D127" s="2"/>
      <c r="E127" s="2"/>
      <c r="F127" s="2">
        <v>9</v>
      </c>
      <c r="G127" s="2">
        <f t="shared" si="14"/>
        <v>9</v>
      </c>
    </row>
    <row r="128" spans="2:7" x14ac:dyDescent="0.3">
      <c r="B128" s="2" t="s">
        <v>219</v>
      </c>
      <c r="C128" s="2"/>
      <c r="D128" s="2"/>
      <c r="E128" s="2"/>
      <c r="F128" s="2">
        <v>9</v>
      </c>
      <c r="G128" s="2">
        <f t="shared" si="14"/>
        <v>9</v>
      </c>
    </row>
    <row r="129" spans="2:7" x14ac:dyDescent="0.3">
      <c r="B129" s="2" t="s">
        <v>218</v>
      </c>
      <c r="C129" s="2"/>
      <c r="D129" s="2"/>
      <c r="E129" s="2"/>
      <c r="F129" s="2">
        <v>9</v>
      </c>
      <c r="G129" s="2">
        <f t="shared" ref="G129:G135" si="15">SUM(E129:F129)</f>
        <v>9</v>
      </c>
    </row>
    <row r="130" spans="2:7" x14ac:dyDescent="0.3">
      <c r="B130" s="2" t="s">
        <v>220</v>
      </c>
      <c r="C130" s="2"/>
      <c r="D130" s="2"/>
      <c r="E130" s="2"/>
      <c r="F130" s="2">
        <v>5</v>
      </c>
      <c r="G130" s="2">
        <f t="shared" si="15"/>
        <v>5</v>
      </c>
    </row>
    <row r="131" spans="2:7" x14ac:dyDescent="0.3">
      <c r="B131" s="2" t="s">
        <v>216</v>
      </c>
      <c r="C131" s="2"/>
      <c r="D131" s="2"/>
      <c r="E131" s="2"/>
      <c r="F131" s="2">
        <v>75</v>
      </c>
      <c r="G131" s="2">
        <f t="shared" si="15"/>
        <v>75</v>
      </c>
    </row>
    <row r="132" spans="2:7" x14ac:dyDescent="0.3">
      <c r="B132" s="2" t="s">
        <v>217</v>
      </c>
      <c r="C132" s="2"/>
      <c r="D132" s="2"/>
      <c r="E132" s="2"/>
      <c r="F132" s="2">
        <v>75</v>
      </c>
      <c r="G132" s="2">
        <f t="shared" si="15"/>
        <v>75</v>
      </c>
    </row>
    <row r="133" spans="2:7" ht="19.8" customHeight="1" x14ac:dyDescent="0.3">
      <c r="B133" s="2" t="s">
        <v>225</v>
      </c>
      <c r="C133" s="2"/>
      <c r="D133" s="2"/>
      <c r="E133" s="2"/>
      <c r="F133" s="2">
        <v>10</v>
      </c>
      <c r="G133" s="2">
        <f t="shared" si="15"/>
        <v>10</v>
      </c>
    </row>
    <row r="134" spans="2:7" ht="19.8" customHeight="1" x14ac:dyDescent="0.3">
      <c r="B134" s="2" t="s">
        <v>226</v>
      </c>
      <c r="C134" s="2"/>
      <c r="D134" s="2"/>
      <c r="E134" s="2"/>
      <c r="F134" s="2">
        <v>10</v>
      </c>
      <c r="G134" s="2">
        <f t="shared" si="15"/>
        <v>10</v>
      </c>
    </row>
    <row r="135" spans="2:7" ht="19.8" customHeight="1" x14ac:dyDescent="0.3">
      <c r="B135" s="2" t="s">
        <v>227</v>
      </c>
      <c r="C135" s="2"/>
      <c r="D135" s="2"/>
      <c r="E135" s="2"/>
      <c r="F135" s="2">
        <v>10</v>
      </c>
      <c r="G135" s="2">
        <f t="shared" si="15"/>
        <v>10</v>
      </c>
    </row>
    <row r="136" spans="2:7" ht="19.8" customHeight="1" x14ac:dyDescent="0.3">
      <c r="B136" s="2" t="s">
        <v>228</v>
      </c>
      <c r="C136" s="2"/>
      <c r="D136" s="2"/>
      <c r="E136" s="2"/>
      <c r="F136" s="2">
        <v>10</v>
      </c>
      <c r="G136" s="2">
        <f t="shared" ref="G136:G137" si="16">SUM(E136:F136)</f>
        <v>10</v>
      </c>
    </row>
    <row r="137" spans="2:7" x14ac:dyDescent="0.3">
      <c r="B137" s="2" t="s">
        <v>229</v>
      </c>
      <c r="C137" s="2"/>
      <c r="D137" s="2"/>
      <c r="E137" s="2"/>
      <c r="F137" s="2">
        <v>10</v>
      </c>
      <c r="G137" s="2">
        <f t="shared" si="16"/>
        <v>10</v>
      </c>
    </row>
    <row r="138" spans="2:7" x14ac:dyDescent="0.3">
      <c r="B138" s="2" t="s">
        <v>230</v>
      </c>
      <c r="C138" s="2"/>
      <c r="D138" s="2"/>
      <c r="E138" s="2"/>
      <c r="F138" s="2">
        <v>10</v>
      </c>
      <c r="G138" s="2">
        <f>SUM(E138:F138)</f>
        <v>10</v>
      </c>
    </row>
    <row r="139" spans="2:7" x14ac:dyDescent="0.3">
      <c r="B139" s="2" t="s">
        <v>231</v>
      </c>
      <c r="C139" s="2"/>
      <c r="D139" s="2"/>
      <c r="E139" s="2"/>
      <c r="F139" s="2">
        <v>10</v>
      </c>
      <c r="G139" s="2">
        <f t="shared" ref="G139:G163" si="17">SUM(E139:F139)</f>
        <v>10</v>
      </c>
    </row>
    <row r="140" spans="2:7" x14ac:dyDescent="0.3">
      <c r="B140" s="2" t="s">
        <v>232</v>
      </c>
      <c r="C140" s="2"/>
      <c r="D140" s="2"/>
      <c r="E140" s="2"/>
      <c r="F140" s="2">
        <v>10</v>
      </c>
      <c r="G140" s="2">
        <f t="shared" si="17"/>
        <v>10</v>
      </c>
    </row>
    <row r="141" spans="2:7" x14ac:dyDescent="0.3">
      <c r="B141" s="2" t="s">
        <v>233</v>
      </c>
      <c r="C141" s="2"/>
      <c r="D141" s="2"/>
      <c r="E141" s="2"/>
      <c r="F141" s="2">
        <v>10</v>
      </c>
      <c r="G141" s="2">
        <f t="shared" si="17"/>
        <v>10</v>
      </c>
    </row>
    <row r="142" spans="2:7" x14ac:dyDescent="0.3">
      <c r="B142" s="2" t="s">
        <v>234</v>
      </c>
      <c r="C142" s="2"/>
      <c r="D142" s="2"/>
      <c r="E142" s="2"/>
      <c r="F142" s="2">
        <v>10</v>
      </c>
      <c r="G142" s="2">
        <f t="shared" si="17"/>
        <v>10</v>
      </c>
    </row>
    <row r="143" spans="2:7" x14ac:dyDescent="0.3">
      <c r="B143" s="2" t="s">
        <v>235</v>
      </c>
      <c r="C143" s="2"/>
      <c r="D143" s="2"/>
      <c r="E143" s="2"/>
      <c r="F143" s="2">
        <v>10</v>
      </c>
      <c r="G143" s="2">
        <f t="shared" si="17"/>
        <v>10</v>
      </c>
    </row>
    <row r="144" spans="2:7" x14ac:dyDescent="0.3">
      <c r="B144" s="2" t="s">
        <v>236</v>
      </c>
      <c r="C144" s="2"/>
      <c r="D144" s="2"/>
      <c r="E144" s="2"/>
      <c r="F144" s="2">
        <v>10</v>
      </c>
      <c r="G144" s="2">
        <f t="shared" si="17"/>
        <v>10</v>
      </c>
    </row>
    <row r="145" spans="2:7" x14ac:dyDescent="0.3">
      <c r="B145" s="2" t="s">
        <v>237</v>
      </c>
      <c r="C145" s="2"/>
      <c r="D145" s="2"/>
      <c r="E145" s="2"/>
      <c r="F145" s="2">
        <v>20</v>
      </c>
      <c r="G145" s="2">
        <f t="shared" si="17"/>
        <v>20</v>
      </c>
    </row>
    <row r="146" spans="2:7" x14ac:dyDescent="0.3">
      <c r="B146" s="2" t="s">
        <v>238</v>
      </c>
      <c r="C146" s="2"/>
      <c r="D146" s="2"/>
      <c r="E146" s="2"/>
      <c r="F146" s="2">
        <v>10</v>
      </c>
      <c r="G146" s="2">
        <f t="shared" si="17"/>
        <v>10</v>
      </c>
    </row>
    <row r="147" spans="2:7" x14ac:dyDescent="0.3">
      <c r="B147" s="2" t="s">
        <v>239</v>
      </c>
      <c r="C147" s="2"/>
      <c r="D147" s="2"/>
      <c r="E147" s="2"/>
      <c r="F147" s="2">
        <v>10</v>
      </c>
      <c r="G147" s="2">
        <f t="shared" si="17"/>
        <v>10</v>
      </c>
    </row>
    <row r="148" spans="2:7" x14ac:dyDescent="0.3">
      <c r="B148" s="2" t="s">
        <v>240</v>
      </c>
      <c r="C148" s="2"/>
      <c r="D148" s="2"/>
      <c r="E148" s="2"/>
      <c r="F148" s="2">
        <v>20</v>
      </c>
      <c r="G148" s="2">
        <f t="shared" si="17"/>
        <v>20</v>
      </c>
    </row>
    <row r="149" spans="2:7" x14ac:dyDescent="0.3">
      <c r="B149" s="2" t="s">
        <v>241</v>
      </c>
      <c r="C149" s="2"/>
      <c r="D149" s="2"/>
      <c r="E149" s="2"/>
      <c r="F149" s="2">
        <v>10</v>
      </c>
      <c r="G149" s="2">
        <f t="shared" si="17"/>
        <v>10</v>
      </c>
    </row>
    <row r="150" spans="2:7" x14ac:dyDescent="0.3">
      <c r="B150" s="2" t="s">
        <v>251</v>
      </c>
      <c r="C150" s="2"/>
      <c r="D150" s="2"/>
      <c r="E150" s="2"/>
      <c r="F150" s="2">
        <v>10</v>
      </c>
      <c r="G150" s="2">
        <f t="shared" si="17"/>
        <v>10</v>
      </c>
    </row>
    <row r="151" spans="2:7" x14ac:dyDescent="0.3">
      <c r="B151" s="2" t="s">
        <v>252</v>
      </c>
      <c r="C151" s="2"/>
      <c r="D151" s="2"/>
      <c r="E151" s="2"/>
      <c r="F151" s="2">
        <v>10</v>
      </c>
      <c r="G151" s="2">
        <f t="shared" si="17"/>
        <v>10</v>
      </c>
    </row>
    <row r="152" spans="2:7" x14ac:dyDescent="0.3">
      <c r="B152" s="2" t="s">
        <v>250</v>
      </c>
      <c r="C152" s="2"/>
      <c r="D152" s="2"/>
      <c r="E152" s="2"/>
      <c r="F152" s="2">
        <v>10</v>
      </c>
      <c r="G152" s="2">
        <f t="shared" si="17"/>
        <v>10</v>
      </c>
    </row>
    <row r="153" spans="2:7" x14ac:dyDescent="0.3">
      <c r="B153" s="2" t="s">
        <v>249</v>
      </c>
      <c r="C153" s="2"/>
      <c r="D153" s="2"/>
      <c r="E153" s="2"/>
      <c r="F153" s="2">
        <v>10</v>
      </c>
      <c r="G153" s="2">
        <f t="shared" si="17"/>
        <v>10</v>
      </c>
    </row>
    <row r="154" spans="2:7" x14ac:dyDescent="0.3">
      <c r="B154" s="2" t="s">
        <v>248</v>
      </c>
      <c r="C154" s="2"/>
      <c r="D154" s="2"/>
      <c r="E154" s="2"/>
      <c r="F154" s="2">
        <v>10</v>
      </c>
      <c r="G154" s="2">
        <f t="shared" si="17"/>
        <v>10</v>
      </c>
    </row>
    <row r="155" spans="2:7" x14ac:dyDescent="0.3">
      <c r="B155" s="2" t="s">
        <v>247</v>
      </c>
      <c r="C155" s="2"/>
      <c r="D155" s="2"/>
      <c r="E155" s="2"/>
      <c r="F155" s="2">
        <v>10</v>
      </c>
      <c r="G155" s="2">
        <f t="shared" si="17"/>
        <v>10</v>
      </c>
    </row>
    <row r="156" spans="2:7" x14ac:dyDescent="0.3">
      <c r="B156" s="2" t="s">
        <v>246</v>
      </c>
      <c r="C156" s="2"/>
      <c r="D156" s="2"/>
      <c r="E156" s="2"/>
      <c r="F156" s="2">
        <v>10</v>
      </c>
      <c r="G156" s="2">
        <f t="shared" si="17"/>
        <v>10</v>
      </c>
    </row>
    <row r="157" spans="2:7" x14ac:dyDescent="0.3">
      <c r="B157" s="2" t="s">
        <v>245</v>
      </c>
      <c r="C157" s="2"/>
      <c r="D157" s="2"/>
      <c r="E157" s="2"/>
      <c r="F157" s="2">
        <v>10</v>
      </c>
      <c r="G157" s="2">
        <f>SUM(E157:F157)</f>
        <v>10</v>
      </c>
    </row>
    <row r="158" spans="2:7" x14ac:dyDescent="0.3">
      <c r="B158" s="2" t="s">
        <v>244</v>
      </c>
      <c r="C158" s="2"/>
      <c r="D158" s="2"/>
      <c r="E158" s="2"/>
      <c r="F158" s="2">
        <v>10</v>
      </c>
      <c r="G158" s="2">
        <f t="shared" si="17"/>
        <v>10</v>
      </c>
    </row>
    <row r="159" spans="2:7" x14ac:dyDescent="0.3">
      <c r="B159" s="2" t="s">
        <v>243</v>
      </c>
      <c r="C159" s="2"/>
      <c r="D159" s="2"/>
      <c r="E159" s="2"/>
      <c r="F159" s="2">
        <v>10</v>
      </c>
      <c r="G159" s="2">
        <f t="shared" si="17"/>
        <v>10</v>
      </c>
    </row>
    <row r="160" spans="2:7" x14ac:dyDescent="0.3">
      <c r="B160" s="2" t="s">
        <v>242</v>
      </c>
      <c r="C160" s="2"/>
      <c r="D160" s="2"/>
      <c r="E160" s="2"/>
      <c r="F160" s="2">
        <v>10</v>
      </c>
      <c r="G160" s="2">
        <f t="shared" si="17"/>
        <v>10</v>
      </c>
    </row>
    <row r="161" spans="2:7" x14ac:dyDescent="0.3">
      <c r="B161" s="2" t="s">
        <v>221</v>
      </c>
      <c r="C161" s="2"/>
      <c r="D161" s="2"/>
      <c r="E161" s="2"/>
      <c r="F161" s="2">
        <v>50</v>
      </c>
      <c r="G161" s="2">
        <f t="shared" si="17"/>
        <v>50</v>
      </c>
    </row>
    <row r="162" spans="2:7" x14ac:dyDescent="0.3">
      <c r="B162" s="2" t="s">
        <v>222</v>
      </c>
      <c r="C162" s="2"/>
      <c r="D162" s="2"/>
      <c r="E162" s="2"/>
      <c r="F162" s="2">
        <v>50</v>
      </c>
      <c r="G162" s="2">
        <f t="shared" si="17"/>
        <v>50</v>
      </c>
    </row>
    <row r="163" spans="2:7" x14ac:dyDescent="0.3">
      <c r="B163" s="2" t="s">
        <v>223</v>
      </c>
      <c r="C163" s="2"/>
      <c r="D163" s="2"/>
      <c r="E163" s="2"/>
      <c r="F163" s="2">
        <v>50</v>
      </c>
      <c r="G163" s="2">
        <f t="shared" si="17"/>
        <v>50</v>
      </c>
    </row>
    <row r="164" spans="2:7" x14ac:dyDescent="0.3">
      <c r="B164" s="8"/>
      <c r="C164" s="8"/>
      <c r="D164" s="8"/>
      <c r="E164" s="8"/>
      <c r="F164" s="8"/>
      <c r="G164" s="8"/>
    </row>
    <row r="165" spans="2:7" x14ac:dyDescent="0.3">
      <c r="B165" s="8"/>
      <c r="C165" s="8"/>
      <c r="D165" s="8"/>
      <c r="E165" s="8"/>
      <c r="F165" s="8"/>
      <c r="G165" s="8"/>
    </row>
    <row r="166" spans="2:7" x14ac:dyDescent="0.3">
      <c r="B166" s="8"/>
      <c r="C166" s="8"/>
      <c r="D166" s="8"/>
      <c r="E166" s="8"/>
      <c r="F166" s="8"/>
      <c r="G166" s="8"/>
    </row>
    <row r="167" spans="2:7" x14ac:dyDescent="0.3">
      <c r="B167" s="8"/>
      <c r="C167" s="8"/>
      <c r="D167" s="8"/>
      <c r="E167" s="8"/>
      <c r="F167" s="8"/>
      <c r="G167" s="8"/>
    </row>
  </sheetData>
  <phoneticPr fontId="2" type="noConversion"/>
  <conditionalFormatting sqref="B62:B65">
    <cfRule type="duplicateValues" dxfId="0" priority="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D628-5391-48F5-B724-C26A889BB546}">
  <dimension ref="B2:G10"/>
  <sheetViews>
    <sheetView tabSelected="1" workbookViewId="0">
      <selection activeCell="D11" sqref="D11"/>
    </sheetView>
  </sheetViews>
  <sheetFormatPr baseColWidth="10" defaultRowHeight="15.6" x14ac:dyDescent="0.3"/>
  <cols>
    <col min="1" max="1" width="11.5546875" style="1"/>
    <col min="2" max="2" width="20.109375" style="1" customWidth="1"/>
    <col min="3" max="3" width="11.5546875" style="1"/>
    <col min="4" max="4" width="15.44140625" style="1" customWidth="1"/>
    <col min="5" max="5" width="10" style="1" customWidth="1"/>
    <col min="6" max="6" width="15.88671875" style="1" customWidth="1"/>
    <col min="7" max="16384" width="11.5546875" style="1"/>
  </cols>
  <sheetData>
    <row r="2" spans="2:7" ht="31.2" x14ac:dyDescent="0.3">
      <c r="B2" s="2" t="s">
        <v>257</v>
      </c>
      <c r="C2" s="2"/>
      <c r="D2" s="2" t="s">
        <v>262</v>
      </c>
      <c r="E2" s="2" t="s">
        <v>93</v>
      </c>
      <c r="F2" s="2" t="s">
        <v>261</v>
      </c>
      <c r="G2" s="2" t="s">
        <v>95</v>
      </c>
    </row>
    <row r="3" spans="2:7" ht="31.2" x14ac:dyDescent="0.3">
      <c r="B3" s="2" t="s">
        <v>253</v>
      </c>
      <c r="C3" s="2"/>
      <c r="D3" s="2">
        <v>1</v>
      </c>
      <c r="E3" s="2"/>
      <c r="F3" s="2">
        <v>4</v>
      </c>
      <c r="G3" s="2">
        <f>SUM(D3:F3)</f>
        <v>5</v>
      </c>
    </row>
    <row r="4" spans="2:7" x14ac:dyDescent="0.3">
      <c r="B4" s="2" t="s">
        <v>254</v>
      </c>
      <c r="C4" s="2"/>
      <c r="D4" s="2">
        <v>1</v>
      </c>
      <c r="E4" s="2"/>
      <c r="F4" s="2">
        <v>3</v>
      </c>
      <c r="G4" s="2">
        <f>SUM(D4:F4)</f>
        <v>4</v>
      </c>
    </row>
    <row r="5" spans="2:7" x14ac:dyDescent="0.3">
      <c r="B5" s="2" t="s">
        <v>255</v>
      </c>
      <c r="C5" s="2"/>
      <c r="D5" s="2"/>
      <c r="E5" s="2">
        <v>1</v>
      </c>
      <c r="F5" s="2">
        <v>3</v>
      </c>
      <c r="G5" s="2">
        <f>SUM(D5:F5)</f>
        <v>4</v>
      </c>
    </row>
    <row r="6" spans="2:7" x14ac:dyDescent="0.3">
      <c r="B6" s="2" t="s">
        <v>256</v>
      </c>
      <c r="C6" s="2"/>
      <c r="D6" s="2"/>
      <c r="E6" s="2">
        <v>1</v>
      </c>
      <c r="F6" s="2">
        <v>3</v>
      </c>
      <c r="G6" s="2">
        <f>SUM(D6:F6)</f>
        <v>4</v>
      </c>
    </row>
    <row r="7" spans="2:7" x14ac:dyDescent="0.3">
      <c r="B7" s="2" t="s">
        <v>266</v>
      </c>
      <c r="C7" s="2"/>
      <c r="D7" s="2"/>
      <c r="E7" s="2"/>
      <c r="F7" s="2">
        <v>3</v>
      </c>
      <c r="G7" s="2">
        <f t="shared" ref="G7" si="0">SUM(D7:F7)</f>
        <v>3</v>
      </c>
    </row>
    <row r="8" spans="2:7" x14ac:dyDescent="0.3">
      <c r="B8" s="2" t="s">
        <v>263</v>
      </c>
      <c r="C8" s="2"/>
      <c r="D8" s="2"/>
      <c r="E8" s="2"/>
      <c r="F8" s="2">
        <v>1</v>
      </c>
      <c r="G8" s="2">
        <f>SUM(D8:F8)</f>
        <v>1</v>
      </c>
    </row>
    <row r="9" spans="2:7" x14ac:dyDescent="0.3">
      <c r="B9" s="2" t="s">
        <v>264</v>
      </c>
      <c r="C9" s="2"/>
      <c r="D9" s="2"/>
      <c r="E9" s="2"/>
      <c r="F9" s="2">
        <v>1</v>
      </c>
      <c r="G9" s="2">
        <f>SUM(D9:F9)</f>
        <v>1</v>
      </c>
    </row>
    <row r="10" spans="2:7" x14ac:dyDescent="0.3">
      <c r="B10" s="2" t="s">
        <v>265</v>
      </c>
      <c r="C10" s="2"/>
      <c r="D10" s="2"/>
      <c r="E10" s="2"/>
      <c r="F10" s="2">
        <v>1</v>
      </c>
      <c r="G10" s="2">
        <f>SUM(D10:F10)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Equipos</vt:lpstr>
      <vt:lpstr>Materiales</vt:lpstr>
      <vt:lpstr>Electronica</vt:lpstr>
      <vt:lpstr>Robots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CIE 1</dc:creator>
  <cp:lastModifiedBy>Laboratorio CIE 1</cp:lastModifiedBy>
  <dcterms:created xsi:type="dcterms:W3CDTF">2026-02-27T15:22:34Z</dcterms:created>
  <dcterms:modified xsi:type="dcterms:W3CDTF">2026-03-05T14:10:55Z</dcterms:modified>
</cp:coreProperties>
</file>